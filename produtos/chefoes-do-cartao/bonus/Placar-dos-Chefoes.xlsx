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Meus chefões" sheetId="2" state="visible" r:id="rId2"/>
    <sheet xmlns:r="http://schemas.openxmlformats.org/officeDocument/2006/relationships" name="Placar mensal" sheetId="3" state="visible" r:id="rId3"/>
    <sheet xmlns:r="http://schemas.openxmlformats.org/officeDocument/2006/relationships" name="Plano de 90 dias" sheetId="4" state="visible" r:id="rId4"/>
    <sheet xmlns:r="http://schemas.openxmlformats.org/officeDocument/2006/relationships" name="Tax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R$&quot; #,##0.00;[Red]-&quot;R$&quot; #,##0.00"/>
    <numFmt numFmtId="166" formatCode="0&quot; chefão(ões)&quot;"/>
    <numFmt numFmtId="167" formatCode="0&quot;º&quot;"/>
  </numFmts>
  <fonts count="34">
    <font>
      <name val="Calibri"/>
      <family val="2"/>
      <color theme="1"/>
      <sz val="11"/>
      <scheme val="minor"/>
    </font>
    <font>
      <name val="Nunito"/>
      <color rgb="0017302A"/>
      <sz val="11"/>
    </font>
    <font>
      <name val="Nunito"/>
      <b val="1"/>
      <color rgb="0017302A"/>
      <sz val="26"/>
    </font>
    <font>
      <name val="Nunito"/>
      <i val="1"/>
      <color rgb="0017302A"/>
      <sz val="12"/>
    </font>
    <font>
      <name val="Nunito"/>
      <b val="1"/>
      <color rgb="00FFFFFF"/>
      <sz val="12"/>
    </font>
    <font>
      <name val="Nunito"/>
      <b val="1"/>
      <color rgb="0017302A"/>
      <sz val="12"/>
    </font>
    <font>
      <name val="Nunito"/>
      <b val="1"/>
      <color rgb="0017302A"/>
      <sz val="13"/>
    </font>
    <font>
      <name val="Nunito"/>
      <b val="1"/>
      <color rgb="00FFFFFF"/>
      <sz val="14"/>
    </font>
    <font>
      <name val="Nunito"/>
      <b val="1"/>
      <color rgb="0017302A"/>
      <sz val="14"/>
    </font>
    <font>
      <name val="Nunito"/>
      <b val="1"/>
      <color rgb="0017302A"/>
      <sz val="11"/>
    </font>
    <font>
      <name val="Nunito"/>
      <i val="1"/>
      <color rgb="0017302A"/>
      <sz val="9"/>
    </font>
    <font>
      <name val="Nunito"/>
      <b val="1"/>
      <color rgb="0017302A"/>
      <sz val="18"/>
    </font>
    <font>
      <name val="Nunito"/>
      <i val="1"/>
      <color rgb="0017302A"/>
      <sz val="10"/>
    </font>
    <font>
      <name val="Nunito"/>
      <b val="1"/>
      <color rgb="00FFFFFF"/>
      <sz val="11"/>
    </font>
    <font>
      <name val="Nunito"/>
      <color rgb="0017302A"/>
      <sz val="9"/>
    </font>
    <font>
      <name val="Nunito"/>
      <color rgb="0017302A"/>
      <sz val="10"/>
    </font>
    <font>
      <name val="Nunito"/>
      <b val="1"/>
      <color rgb="0017302A"/>
      <sz val="22"/>
    </font>
    <font>
      <name val="Nunito"/>
      <i val="1"/>
      <color rgb="0017302A"/>
      <sz val="11"/>
    </font>
    <font>
      <name val="Nunito"/>
      <i val="1"/>
      <color rgb="008A6A00"/>
      <sz val="10"/>
    </font>
    <font>
      <name val="Nunito"/>
      <b val="1"/>
      <color rgb="00FF5146"/>
      <sz val="18"/>
    </font>
    <font>
      <name val="Nunito"/>
      <b val="1"/>
      <color rgb="001FBF6A"/>
      <sz val="18"/>
    </font>
    <font>
      <name val="Nunito"/>
      <b val="1"/>
      <color rgb="00FF5146"/>
      <sz val="10"/>
    </font>
    <font>
      <name val="Nunito"/>
      <b val="1"/>
      <color rgb="00FF5146"/>
      <sz val="11"/>
    </font>
    <font>
      <name val="Nunito"/>
      <b val="1"/>
      <color rgb="0017302A"/>
      <sz val="10"/>
    </font>
    <font>
      <name val="Nunito"/>
      <b val="1"/>
      <color rgb="0017302A"/>
      <sz val="16"/>
    </font>
    <font>
      <name val="Nunito"/>
      <b val="1"/>
      <color rgb="008A6A00"/>
      <sz val="10"/>
    </font>
    <font>
      <name val="Nunito"/>
      <b val="1"/>
      <color rgb="001FBF6A"/>
      <sz val="16"/>
    </font>
    <font>
      <name val="Nunito"/>
      <b val="1"/>
      <color rgb="00FF5146"/>
      <sz val="16"/>
    </font>
    <font>
      <name val="Nunito"/>
      <color rgb="001FBF6A"/>
      <sz val="14"/>
    </font>
    <font>
      <name val="Nunito"/>
      <color rgb="008A6A00"/>
      <sz val="10"/>
    </font>
    <font>
      <name val="Nunito"/>
      <color rgb="008AA088"/>
      <sz val="11"/>
    </font>
    <font>
      <name val="Nunito"/>
      <color rgb="001FBF6A"/>
      <sz val="10"/>
    </font>
    <font>
      <name val="Nunito"/>
      <color rgb="001FBF6A"/>
      <sz val="18"/>
    </font>
    <font>
      <name val="Nunito"/>
      <b val="1"/>
      <color rgb="001FBF6A"/>
      <sz val="10"/>
    </font>
  </fonts>
  <fills count="10">
    <fill>
      <patternFill/>
    </fill>
    <fill>
      <patternFill patternType="gray125"/>
    </fill>
    <fill>
      <patternFill patternType="solid">
        <fgColor rgb="00E7EFE3"/>
        <bgColor rgb="00E7EFE3"/>
      </patternFill>
    </fill>
    <fill>
      <patternFill patternType="solid">
        <fgColor rgb="001FBF6A"/>
        <bgColor rgb="001FBF6A"/>
      </patternFill>
    </fill>
    <fill>
      <patternFill patternType="solid">
        <fgColor rgb="00DDF7E8"/>
        <bgColor rgb="00DDF7E8"/>
      </patternFill>
    </fill>
    <fill>
      <patternFill patternType="solid">
        <fgColor rgb="0017302A"/>
        <bgColor rgb="0017302A"/>
      </patternFill>
    </fill>
    <fill>
      <patternFill patternType="solid">
        <fgColor rgb="00FFCB2D"/>
        <bgColor rgb="00FFCB2D"/>
      </patternFill>
    </fill>
    <fill>
      <patternFill patternType="solid">
        <fgColor rgb="00F1F6EE"/>
        <bgColor rgb="00F1F6EE"/>
      </patternFill>
    </fill>
    <fill>
      <patternFill patternType="solid">
        <fgColor rgb="00FF5146"/>
        <bgColor rgb="00FF5146"/>
      </patternFill>
    </fill>
    <fill>
      <patternFill patternType="solid">
        <fgColor rgb="00FFE3DF"/>
        <bgColor rgb="00FFE3DF"/>
      </patternFill>
    </fill>
  </fills>
  <borders count="6">
    <border>
      <left/>
      <right/>
      <top/>
      <bottom/>
      <diagonal/>
    </border>
    <border>
      <left style="thin">
        <color rgb="009DB59A"/>
      </left>
      <right style="thin">
        <color rgb="009DB59A"/>
      </right>
      <top style="thin">
        <color rgb="009DB59A"/>
      </top>
      <bottom style="thin">
        <color rgb="009DB59A"/>
      </bottom>
    </border>
    <border>
      <left/>
      <right/>
      <top style="thin">
        <color rgb="009DB59A"/>
      </top>
      <bottom/>
      <diagonal/>
    </border>
    <border>
      <left/>
      <right style="thin">
        <color rgb="009DB59A"/>
      </right>
      <top style="thin">
        <color rgb="009DB59A"/>
      </top>
      <bottom/>
      <diagonal/>
    </border>
    <border>
      <left/>
      <right style="thin">
        <color rgb="009DB59A"/>
      </right>
      <top style="thin">
        <color rgb="009DB59A"/>
      </top>
      <bottom style="thin">
        <color rgb="009DB59A"/>
      </bottom>
      <diagonal/>
    </border>
    <border>
      <left/>
      <right/>
      <top style="thin">
        <color rgb="009DB59A"/>
      </top>
      <bottom style="thin">
        <color rgb="009DB59A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top"/>
    </xf>
    <xf numFmtId="0" fontId="1" fillId="2" borderId="0" applyAlignment="1" pivotButton="0" quotePrefix="0" xfId="0">
      <alignment vertical="top" wrapText="1"/>
    </xf>
    <xf numFmtId="0" fontId="8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9" fillId="9" borderId="1" applyAlignment="1" pivotButton="0" quotePrefix="0" xfId="0">
      <alignment vertical="center" wrapText="1"/>
    </xf>
    <xf numFmtId="0" fontId="0" fillId="9" borderId="1" pivotButton="0" quotePrefix="0" xfId="0"/>
    <xf numFmtId="0" fontId="9" fillId="2" borderId="0" applyAlignment="1" pivotButton="0" quotePrefix="0" xfId="0">
      <alignment horizontal="center" vertical="top"/>
    </xf>
    <xf numFmtId="0" fontId="10" fillId="2" borderId="0" applyAlignment="1" pivotButton="0" quotePrefix="0" xfId="0">
      <alignment vertical="center" wrapText="1"/>
    </xf>
    <xf numFmtId="0" fontId="16" fillId="2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165" fontId="6" fillId="7" borderId="1" applyAlignment="1" applyProtection="1" pivotButton="0" quotePrefix="0" xfId="0">
      <alignment vertical="center"/>
      <protection locked="0" hidden="0"/>
    </xf>
    <xf numFmtId="0" fontId="18" fillId="2" borderId="0" applyAlignment="1" pivotButton="0" quotePrefix="0" xfId="0">
      <alignment vertical="center"/>
    </xf>
    <xf numFmtId="0" fontId="13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165" fontId="11" fillId="7" borderId="1" applyAlignment="1" pivotButton="0" quotePrefix="0" xfId="0">
      <alignment horizontal="center" vertical="center"/>
    </xf>
    <xf numFmtId="0" fontId="0" fillId="7" borderId="1" pivotButton="0" quotePrefix="0" xfId="0"/>
    <xf numFmtId="165" fontId="19" fillId="7" borderId="1" applyAlignment="1" pivotButton="0" quotePrefix="0" xfId="0">
      <alignment horizontal="center" vertical="center"/>
    </xf>
    <xf numFmtId="165" fontId="20" fillId="7" borderId="1" applyAlignment="1" pivotButton="0" quotePrefix="0" xfId="0">
      <alignment horizontal="center" vertical="center"/>
    </xf>
    <xf numFmtId="166" fontId="19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" fillId="7" borderId="1" applyAlignment="1" applyProtection="1" pivotButton="0" quotePrefix="0" xfId="0">
      <alignment vertical="center"/>
      <protection locked="0" hidden="0"/>
    </xf>
    <xf numFmtId="0" fontId="15" fillId="2" borderId="1" applyAlignment="1" pivotButton="0" quotePrefix="0" xfId="0">
      <alignment vertical="center"/>
    </xf>
    <xf numFmtId="165" fontId="1" fillId="7" borderId="1" applyAlignment="1" applyProtection="1" pivotButton="0" quotePrefix="0" xfId="0">
      <alignment vertical="center"/>
      <protection locked="0" hidden="0"/>
    </xf>
    <xf numFmtId="10" fontId="1" fillId="2" borderId="1" applyAlignment="1" pivotButton="0" quotePrefix="0" xfId="0">
      <alignment vertical="center"/>
    </xf>
    <xf numFmtId="10" fontId="1" fillId="7" borderId="1" applyAlignment="1" applyProtection="1" pivotButton="0" quotePrefix="0" xfId="0">
      <alignment vertical="center"/>
      <protection locked="0" hidden="0"/>
    </xf>
    <xf numFmtId="10" fontId="9" fillId="2" borderId="1" applyAlignment="1" pivotButton="0" quotePrefix="0" xfId="0">
      <alignment vertical="center"/>
    </xf>
    <xf numFmtId="165" fontId="22" fillId="2" borderId="1" applyAlignment="1" pivotButton="0" quotePrefix="0" xfId="0">
      <alignment vertical="center"/>
    </xf>
    <xf numFmtId="165" fontId="1" fillId="2" borderId="1" applyAlignment="1" pivotButton="0" quotePrefix="0" xfId="0">
      <alignment vertical="center"/>
    </xf>
    <xf numFmtId="0" fontId="23" fillId="2" borderId="1" applyAlignment="1" pivotButton="0" quotePrefix="0" xfId="0">
      <alignment vertical="center"/>
    </xf>
    <xf numFmtId="167" fontId="9" fillId="2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 wrapText="1"/>
    </xf>
    <xf numFmtId="165" fontId="13" fillId="5" borderId="0" applyAlignment="1" pivotButton="0" quotePrefix="0" xfId="0">
      <alignment vertical="center"/>
    </xf>
    <xf numFmtId="0" fontId="1" fillId="5" borderId="0" pivotButton="0" quotePrefix="0" xfId="0"/>
    <xf numFmtId="0" fontId="24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0" fillId="4" borderId="1" pivotButton="0" quotePrefix="0" xfId="0"/>
    <xf numFmtId="167" fontId="9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vertical="center"/>
    </xf>
    <xf numFmtId="0" fontId="0" fillId="6" borderId="1" pivotButton="0" quotePrefix="0" xfId="0"/>
    <xf numFmtId="165" fontId="23" fillId="6" borderId="1" applyAlignment="1" pivotButton="0" quotePrefix="0" xfId="0">
      <alignment vertical="center"/>
    </xf>
    <xf numFmtId="10" fontId="23" fillId="6" borderId="1" applyAlignment="1" pivotButton="0" quotePrefix="0" xfId="0">
      <alignment vertical="center"/>
    </xf>
    <xf numFmtId="0" fontId="25" fillId="2" borderId="0" applyAlignment="1" pivotButton="0" quotePrefix="0" xfId="0">
      <alignment vertical="center"/>
    </xf>
    <xf numFmtId="0" fontId="0" fillId="0" borderId="1" pivotButton="0" quotePrefix="0" xfId="0"/>
    <xf numFmtId="165" fontId="15" fillId="2" borderId="1" applyAlignment="1" pivotButton="0" quotePrefix="0" xfId="0">
      <alignment vertical="center"/>
    </xf>
    <xf numFmtId="10" fontId="15" fillId="2" borderId="1" applyAlignment="1" pivotButton="0" quotePrefix="0" xfId="0">
      <alignment vertical="center"/>
    </xf>
    <xf numFmtId="0" fontId="15" fillId="4" borderId="1" applyAlignment="1" pivotButton="0" quotePrefix="0" xfId="0">
      <alignment vertical="center" wrapText="1"/>
    </xf>
    <xf numFmtId="165" fontId="24" fillId="7" borderId="1" applyAlignment="1" pivotButton="0" quotePrefix="0" xfId="0">
      <alignment horizontal="center" vertical="center"/>
    </xf>
    <xf numFmtId="164" fontId="26" fillId="7" borderId="1" applyAlignment="1" pivotButton="0" quotePrefix="0" xfId="0">
      <alignment horizontal="center" vertical="center"/>
    </xf>
    <xf numFmtId="165" fontId="27" fillId="7" borderId="1" applyAlignment="1" pivotButton="0" quotePrefix="0" xfId="0">
      <alignment horizontal="center" vertical="center"/>
    </xf>
    <xf numFmtId="0" fontId="28" fillId="2" borderId="0" applyAlignment="1" pivotButton="0" quotePrefix="0" xfId="0">
      <alignment vertical="center"/>
    </xf>
    <xf numFmtId="0" fontId="23" fillId="4" borderId="1" applyAlignment="1" pivotButton="0" quotePrefix="0" xfId="0">
      <alignment horizontal="center" vertical="center"/>
    </xf>
    <xf numFmtId="0" fontId="29" fillId="7" borderId="1" applyAlignment="1" applyProtection="1" pivotButton="0" quotePrefix="0" xfId="0">
      <alignment horizontal="center" vertical="center"/>
      <protection locked="0" hidden="0"/>
    </xf>
    <xf numFmtId="0" fontId="30" fillId="2" borderId="1" applyAlignment="1" pivotButton="0" quotePrefix="0" xfId="0">
      <alignment horizontal="center" vertical="center"/>
    </xf>
    <xf numFmtId="165" fontId="9" fillId="7" borderId="1" applyAlignment="1" applyProtection="1" pivotButton="0" quotePrefix="0" xfId="0">
      <alignment vertical="center"/>
      <protection locked="0" hidden="0"/>
    </xf>
    <xf numFmtId="165" fontId="5" fillId="2" borderId="1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0" fontId="31" fillId="2" borderId="1" applyAlignment="1" pivotButton="0" quotePrefix="0" xfId="0">
      <alignment vertical="center"/>
    </xf>
    <xf numFmtId="0" fontId="15" fillId="7" borderId="1" applyAlignment="1" applyProtection="1" pivotButton="0" quotePrefix="0" xfId="0">
      <alignment horizontal="center" vertical="center"/>
      <protection locked="0" hidden="0"/>
    </xf>
    <xf numFmtId="0" fontId="24" fillId="7" borderId="1" applyAlignment="1" pivotButton="0" quotePrefix="0" xfId="0">
      <alignment horizontal="center" vertical="center"/>
    </xf>
    <xf numFmtId="0" fontId="32" fillId="2" borderId="0" applyAlignment="1" pivotButton="0" quotePrefix="0" xfId="0">
      <alignment vertical="center"/>
    </xf>
    <xf numFmtId="0" fontId="33" fillId="2" borderId="0" applyAlignment="1" pivotButton="0" quotePrefix="0" xfId="0">
      <alignment vertical="center" wrapText="1"/>
    </xf>
    <xf numFmtId="0" fontId="9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9" fillId="7" borderId="1" applyAlignment="1" applyProtection="1" pivotButton="0" quotePrefix="0" xfId="0">
      <alignment horizontal="center" vertical="center"/>
      <protection locked="0" hidden="0"/>
    </xf>
    <xf numFmtId="0" fontId="1" fillId="4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 wrapText="1"/>
    </xf>
    <xf numFmtId="0" fontId="14" fillId="2" borderId="1" applyAlignment="1" pivotButton="0" quotePrefix="0" xfId="0">
      <alignment vertical="center" wrapText="1"/>
    </xf>
    <xf numFmtId="0" fontId="15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ont>
        <name val="Nunito"/>
        <b val="1"/>
        <color rgb="00FFFFFF"/>
      </font>
      <fill>
        <patternFill patternType="solid">
          <fgColor rgb="00FF5146"/>
          <bgColor rgb="00FF5146"/>
        </patternFill>
      </fill>
    </dxf>
    <dxf>
      <fill>
        <patternFill patternType="solid">
          <fgColor rgb="00FFF3C4"/>
          <bgColor rgb="00FFF3C4"/>
        </patternFill>
      </fill>
    </dxf>
    <dxf>
      <fill>
        <patternFill patternType="solid">
          <fgColor rgb="00FFCB2D"/>
          <bgColor rgb="00FFCB2D"/>
        </patternFill>
      </fill>
    </dxf>
    <dxf>
      <font>
        <name val="Nunito"/>
        <b val="1"/>
        <color rgb="00FFFFFF"/>
      </font>
      <fill>
        <patternFill patternType="solid">
          <fgColor rgb="001FBF6A"/>
          <bgColor rgb="001FBF6A"/>
        </patternFill>
      </fill>
    </dxf>
    <dxf>
      <font>
        <name val="Nunito"/>
        <b val="1"/>
        <color rgb="00D3352B"/>
      </font>
      <fill>
        <patternFill patternType="solid">
          <fgColor rgb="00FFE3DF"/>
          <bgColor rgb="00FFE3DF"/>
        </patternFill>
      </fill>
    </dxf>
    <dxf>
      <fill>
        <patternFill patternType="solid">
          <fgColor rgb="00FFE3DF"/>
          <bgColor rgb="00FFE3DF"/>
        </patternFill>
      </fill>
    </dxf>
    <dxf>
      <font>
        <name val="Nunito"/>
        <b val="1"/>
        <color rgb="00139256"/>
      </font>
      <fill>
        <patternFill patternType="solid">
          <fgColor rgb="00DDF7E8"/>
          <bgColor rgb="00DDF7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Vida total dos chefões, mês a mês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FBF6A"/>
            </a:solidFill>
            <a:ln xmlns:a="http://schemas.openxmlformats.org/drawingml/2006/main">
              <a:solidFill>
                <a:srgbClr val="139256"/>
              </a:solidFill>
              <a:prstDash val="solid"/>
            </a:ln>
          </spPr>
          <cat>
            <numRef>
              <f>'Placar mensal'!$A$8:$A$32</f>
            </numRef>
          </cat>
          <val>
            <numRef>
              <f>'Placar mensal'!$X$8:$X$32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"/>
      </valAx>
      <spPr>
        <a:solidFill xmlns:a="http://schemas.openxmlformats.org/drawingml/2006/main">
          <a:srgbClr val="F1F6EE"/>
        </a:solidFill>
        <a:ln xmlns:a="http://schemas.openxmlformats.org/drawingml/2006/main">
          <a:prstDash val="solid"/>
        </a:ln>
      </spPr>
    </plotArea>
    <plotVisOnly val="1"/>
    <dispBlanksAs val="gap"/>
  </chart>
  <spPr>
    <a:solidFill xmlns:a="http://schemas.openxmlformats.org/drawingml/2006/main">
      <a:srgbClr val="E7EFE3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BF6A"/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2" customWidth="1" min="3" max="3"/>
    <col width="3" customWidth="1" min="4" max="4"/>
  </cols>
  <sheetData>
    <row r="1">
      <c r="A1" s="1" t="n"/>
      <c r="B1" s="1" t="n"/>
      <c r="C1" s="1" t="n"/>
      <c r="D1" s="1" t="n"/>
    </row>
    <row r="2" ht="38" customHeight="1">
      <c r="A2" s="1" t="n"/>
      <c r="B2" s="2" t="inlineStr">
        <is>
          <t>PLACAR DOS CHEFÕES</t>
        </is>
      </c>
      <c r="D2" s="1" t="n"/>
    </row>
    <row r="3">
      <c r="A3" s="1" t="n"/>
      <c r="B3" s="3" t="inlineStr">
        <is>
          <t>Bônus 1 do ebook "Chefões do cartão" · Din no Chão</t>
        </is>
      </c>
      <c r="D3" s="1" t="n"/>
    </row>
    <row r="4">
      <c r="A4" s="1" t="n"/>
      <c r="B4" s="1" t="n"/>
      <c r="C4" s="1" t="n"/>
      <c r="D4" s="1" t="n"/>
    </row>
    <row r="5" ht="52" customHeight="1">
      <c r="A5" s="1" t="n"/>
      <c r="B5" s="4" t="inlineStr">
        <is>
          <t>DIN</t>
        </is>
      </c>
      <c r="C5" s="5" t="inlineStr">
        <is>
          <t>Oi, eu sou o Din. Esta planilha é o seu placar. Você coloca os chefões, ela mostra quem está batendo mais forte, qual atacar primeiro e se a barra de vida está caindo. Leva 10 minutos.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6" t="inlineStr">
        <is>
          <t>COMO JOGAR</t>
        </is>
      </c>
      <c r="D7" s="1" t="n"/>
    </row>
    <row r="8" ht="34" customHeight="1">
      <c r="A8" s="1" t="n"/>
      <c r="B8" s="7" t="inlineStr">
        <is>
          <t>1</t>
        </is>
      </c>
      <c r="C8" s="8" t="inlineStr">
        <is>
          <t>Apague o exemplo da Ana. As linhas escritas "EXEMPLO" são da Ana, a personagem do livro. Selecione os campos claros com borda e aperte Delete. As fórmulas ficam.</t>
        </is>
      </c>
      <c r="D8" s="1" t="n"/>
    </row>
    <row r="9" ht="34" customHeight="1">
      <c r="A9" s="1" t="n"/>
      <c r="B9" s="7" t="inlineStr">
        <is>
          <t>2</t>
        </is>
      </c>
      <c r="C9" s="8" t="inlineStr">
        <is>
          <t>Monte a ficha dos seus chefões. Na aba "Meus chefões": nome, tipo (lista), vida (quanto deve hoje) e o mínimo ou a parcela. A taxa ao mês aparece sozinha. Sabe a do seu contrato? Digite em "Minha taxa".</t>
        </is>
      </c>
      <c r="D9" s="1" t="n"/>
    </row>
    <row r="10" ht="34" customHeight="1">
      <c r="A10" s="1" t="n"/>
      <c r="B10" s="7" t="inlineStr">
        <is>
          <t>3</t>
        </is>
      </c>
      <c r="C10" s="8" t="inlineStr">
        <is>
          <t>Diga quanto sobra. No topo de "Meus chefões": quanto sobra por mês para as dívidas, depois do essencial. Essencial vem antes de qualquer chefão.</t>
        </is>
      </c>
      <c r="D10" s="1" t="n"/>
    </row>
    <row r="11" ht="34" customHeight="1">
      <c r="A11" s="1" t="n"/>
      <c r="B11" s="7" t="inlineStr">
        <is>
          <t>4</t>
        </is>
      </c>
      <c r="C11" s="8" t="inlineStr">
        <is>
          <t>Escolha a estratégia. A planilha monta a ordem de ataque da Avalanche e da Bola de Neve. O primeiro da lista é o ALVO: ele recebe toda a sobra.</t>
        </is>
      </c>
      <c r="D11" s="1" t="n"/>
    </row>
    <row r="12" ht="34" customHeight="1">
      <c r="A12" s="1" t="n"/>
      <c r="B12" s="7" t="inlineStr">
        <is>
          <t>5</t>
        </is>
      </c>
      <c r="C12" s="8" t="inlineStr">
        <is>
          <t>Marque o placar todo mês. Na aba "Placar mensal", anote o que pagou e a vida que ficou em cada chefão. O gráfico mostra a vida total caindo.</t>
        </is>
      </c>
      <c r="D12" s="1" t="n"/>
    </row>
    <row r="13" ht="34" customHeight="1">
      <c r="A13" s="1" t="n"/>
      <c r="B13" s="7" t="inlineStr">
        <is>
          <t>6</t>
        </is>
      </c>
      <c r="C13" s="8" t="inlineStr">
        <is>
          <t>Siga o plano de 90 dias. Uma missão por semana. Marque "Feito" quando terminar.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6" t="inlineStr">
        <is>
          <t>AS 3 REGRAS DO JOGO</t>
        </is>
      </c>
      <c r="D15" s="1" t="n"/>
    </row>
    <row r="16" ht="22" customHeight="1">
      <c r="A16" s="1" t="n"/>
      <c r="B16" s="9" t="inlineStr">
        <is>
          <t>1</t>
        </is>
      </c>
      <c r="C16" s="10" t="inlineStr">
        <is>
          <t>Pague o essencial primeiro: comida, moradia, contas, remédio e transporte.</t>
        </is>
      </c>
      <c r="D16" s="1" t="n"/>
    </row>
    <row r="17" ht="22" customHeight="1">
      <c r="A17" s="1" t="n"/>
      <c r="B17" s="9" t="inlineStr">
        <is>
          <t>2</t>
        </is>
      </c>
      <c r="C17" s="10" t="inlineStr">
        <is>
          <t>Pague o mínimo de todas as dívidas, para nenhuma atrasar.</t>
        </is>
      </c>
      <c r="D17" s="1" t="n"/>
    </row>
    <row r="18" ht="22" customHeight="1">
      <c r="A18" s="1" t="n"/>
      <c r="B18" s="9" t="inlineStr">
        <is>
          <t>3</t>
        </is>
      </c>
      <c r="C18" s="10" t="inlineStr">
        <is>
          <t>Todo dinheiro que sobrar vai inteiro para UM chefão de cada vez: o ALVO.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6" t="inlineStr">
        <is>
          <t>O QUE CADA COR QUER DIZER</t>
        </is>
      </c>
      <c r="D20" s="1" t="n"/>
    </row>
    <row r="21" ht="20" customHeight="1">
      <c r="A21" s="1" t="n"/>
      <c r="B21" s="11" t="n"/>
      <c r="C21" s="12" t="inlineStr">
        <is>
          <t>Campo claro com borda: é seu, preencha.</t>
        </is>
      </c>
      <c r="D21" s="1" t="n"/>
    </row>
    <row r="22" ht="20" customHeight="1">
      <c r="A22" s="1" t="n"/>
      <c r="B22" s="13" t="n"/>
      <c r="C22" s="12" t="inlineStr">
        <is>
          <t>Fundo verde-sálvia: fórmula. Não precisa mexer.</t>
        </is>
      </c>
      <c r="D22" s="1" t="n"/>
    </row>
    <row r="23" ht="20" customHeight="1">
      <c r="A23" s="1" t="n"/>
      <c r="B23" s="14" t="n"/>
      <c r="C23" s="12" t="inlineStr">
        <is>
          <t>Vermelho: o chefão está crescendo. O mínimo não cobre o ataque dele.</t>
        </is>
      </c>
      <c r="D23" s="1" t="n"/>
    </row>
    <row r="24" ht="20" customHeight="1">
      <c r="A24" s="1" t="n"/>
      <c r="B24" s="15" t="n"/>
      <c r="C24" s="12" t="inlineStr">
        <is>
          <t>Amarelo: o ALVO, quem recebe a sobra.</t>
        </is>
      </c>
      <c r="D24" s="1" t="n"/>
    </row>
    <row r="25" ht="20" customHeight="1">
      <c r="A25" s="1" t="n"/>
      <c r="B25" s="16" t="n"/>
      <c r="C25" s="12" t="inlineStr">
        <is>
          <t>Verde: chefão perdendo vida, ou fase vencida.</t>
        </is>
      </c>
      <c r="D25" s="1" t="n"/>
    </row>
    <row r="26">
      <c r="A26" s="1" t="n"/>
      <c r="B26" s="1" t="n"/>
      <c r="C26" s="1" t="n"/>
      <c r="D26" s="1" t="n"/>
    </row>
    <row r="27">
      <c r="A27" s="1" t="n"/>
      <c r="B27" s="6" t="inlineStr">
        <is>
          <t>A CONTA MAIS IMPORTANTE</t>
        </is>
      </c>
      <c r="D27" s="1" t="n"/>
    </row>
    <row r="28" ht="34" customHeight="1">
      <c r="A28" s="1" t="n"/>
      <c r="B28" s="17" t="inlineStr">
        <is>
          <t>Ataque do mês = vida × taxa ao mês. Se o seu pagamento é menor que o ataque, a vida do chefão sobe: você está pagando e perdendo.</t>
        </is>
      </c>
      <c r="C28" s="18" t="n"/>
      <c r="D28" s="1" t="n"/>
    </row>
    <row r="29">
      <c r="A29" s="1" t="n"/>
      <c r="B29" s="1" t="n"/>
      <c r="C29" s="1" t="n"/>
      <c r="D29" s="1" t="n"/>
    </row>
    <row r="30">
      <c r="A30" s="1" t="n"/>
      <c r="B30" s="6" t="inlineStr">
        <is>
          <t>BOM SABER</t>
        </is>
      </c>
      <c r="D30" s="1" t="n"/>
    </row>
    <row r="31" ht="32" customHeight="1">
      <c r="A31" s="1" t="n"/>
      <c r="B31" s="19" t="inlineStr">
        <is>
          <t>•</t>
        </is>
      </c>
      <c r="C31" s="8" t="inlineStr">
        <is>
          <t>Taxa: digite 6,42% ou 0,0642. Se digitar 6,42 (sem o %), a planilha entende 6,42% ao mês.</t>
        </is>
      </c>
      <c r="D31" s="1" t="n"/>
    </row>
    <row r="32" ht="32" customHeight="1">
      <c r="A32" s="1" t="n"/>
      <c r="B32" s="19" t="inlineStr">
        <is>
          <t>•</t>
        </is>
      </c>
      <c r="C32" s="8" t="inlineStr">
        <is>
          <t>Onde achar os números: Registrato do Banco Central (gov.br), fatura do cartão, app do banco e Serasa.</t>
        </is>
      </c>
      <c r="D32" s="1" t="n"/>
    </row>
    <row r="33" ht="32" customHeight="1">
      <c r="A33" s="1" t="n"/>
      <c r="B33" s="19" t="inlineStr">
        <is>
          <t>•</t>
        </is>
      </c>
      <c r="C33" s="8" t="inlineStr">
        <is>
          <t>As fórmulas estão protegidas, sem senha, só para não apagar sem querer. Para mexer: Revisão &gt; Desproteger planilha (Excel) ou Dados &gt; Proteger páginas e intervalos (Google Planilhas).</t>
        </is>
      </c>
      <c r="D33" s="1" t="n"/>
    </row>
    <row r="34" ht="32" customHeight="1">
      <c r="A34" s="1" t="n"/>
      <c r="B34" s="19" t="inlineStr">
        <is>
          <t>•</t>
        </is>
      </c>
      <c r="C34" s="8" t="inlineStr">
        <is>
          <t>No Google Planilhas: Arquivo &gt; Importar &gt; Fazer upload, ou abra o arquivo pelo Google Drive e use "Abrir com Planilhas Google".</t>
        </is>
      </c>
      <c r="D34" s="1" t="n"/>
    </row>
    <row r="35" ht="32" customHeight="1">
      <c r="A35" s="1" t="n"/>
      <c r="B35" s="19" t="inlineStr">
        <is>
          <t>•</t>
        </is>
      </c>
      <c r="C35" s="8" t="inlineStr">
        <is>
          <t>A planilha não prevê a data de quitação: o mínimo do cartão muda a cada fatura. Para ver a batalha completa mês a mês, use o simulador do livro.</t>
        </is>
      </c>
      <c r="D35" s="1" t="n"/>
    </row>
    <row r="36">
      <c r="A36" s="1" t="n"/>
      <c r="B36" s="1" t="n"/>
      <c r="C36" s="1" t="n"/>
      <c r="D36" s="1" t="n"/>
    </row>
    <row r="37" ht="40" customHeight="1">
      <c r="A37" s="1" t="n"/>
      <c r="B37" s="20" t="inlineStr">
        <is>
          <t>Educativo: não é recomendação de investimento, não promete resultado e não substitui orientação profissional. Taxas médias do Banco Central de setembro de 2026 (consignado CLT: média de agosto de 2026). Confira sempre o contrato e o CET da sua dívida.</t>
        </is>
      </c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9">
    <mergeCell ref="B30:C30"/>
    <mergeCell ref="B2:C2"/>
    <mergeCell ref="B15:C15"/>
    <mergeCell ref="B7:C7"/>
    <mergeCell ref="B3:C3"/>
    <mergeCell ref="B20:C20"/>
    <mergeCell ref="B37:C37"/>
    <mergeCell ref="B28:C28"/>
    <mergeCell ref="B27:C2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F5146"/>
    <outlinePr summaryBelow="1" summaryRight="1"/>
    <pageSetUpPr fitToPage="1"/>
  </sheetPr>
  <dimension ref="A1:O5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8" customWidth="1" min="4" max="4"/>
    <col width="14" customWidth="1" min="5" max="5"/>
    <col width="11" customWidth="1" min="6" max="6"/>
    <col width="11" customWidth="1" min="7" max="7"/>
    <col width="11" customWidth="1" min="8" max="8"/>
    <col width="14" customWidth="1" min="9" max="9"/>
    <col width="14" customWidth="1" min="10" max="10"/>
    <col width="14" customWidth="1" min="11" max="11"/>
    <col width="44" customWidth="1" min="12" max="12"/>
    <col width="12" customWidth="1" min="13" max="13"/>
    <col width="12" customWidth="1" min="14" max="14"/>
    <col width="3" customWidth="1" min="15" max="15"/>
  </cols>
  <sheetData>
    <row r="1" ht="34" customHeight="1">
      <c r="A1" s="21" t="inlineStr">
        <is>
          <t>MEUS CHEFÕES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2" t="inlineStr">
        <is>
          <t>Din: ninguém vence o que não enxerga. Quatro números por dívida e você sabe contra o que está lutando.</t>
        </is>
      </c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6" customHeight="1">
      <c r="A4" s="23" t="inlineStr">
        <is>
          <t>Quanto sobra por mês para as dívidas (depois do essencial)?</t>
        </is>
      </c>
      <c r="E4" s="24" t="n">
        <v>600</v>
      </c>
      <c r="F4" s="25" t="inlineStr">
        <is>
          <t>← EXEMPLO da Ana. Troque pelo seu valor.</t>
        </is>
      </c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26" t="inlineStr">
        <is>
          <t>VIDA TOTAL</t>
        </is>
      </c>
      <c r="B6" s="27" t="n"/>
      <c r="C6" s="27" t="n"/>
      <c r="D6" s="26" t="inlineStr">
        <is>
          <t>ATAQUE DO MÊS</t>
        </is>
      </c>
      <c r="E6" s="27" t="n"/>
      <c r="F6" s="26" t="inlineStr">
        <is>
          <t>MÍNIMOS SOMADOS</t>
        </is>
      </c>
      <c r="G6" s="27" t="n"/>
      <c r="H6" s="27" t="n"/>
      <c r="I6" s="26" t="inlineStr">
        <is>
          <t>SOBRA PARA O ALVO</t>
        </is>
      </c>
      <c r="J6" s="27" t="n"/>
      <c r="K6" s="26" t="inlineStr">
        <is>
          <t>DANO REAL NO MÊS</t>
        </is>
      </c>
      <c r="L6" s="27" t="n"/>
      <c r="M6" s="26" t="inlineStr">
        <is>
          <t>CRESCENDO</t>
        </is>
      </c>
      <c r="N6" s="27" t="n"/>
      <c r="O6" s="1" t="n"/>
    </row>
    <row r="7" ht="34" customHeight="1">
      <c r="A7" s="28">
        <f>SUM(E11:E20)</f>
        <v/>
      </c>
      <c r="B7" s="29" t="n"/>
      <c r="C7" s="29" t="n"/>
      <c r="D7" s="30">
        <f>SUM(J11:J20)</f>
        <v/>
      </c>
      <c r="E7" s="29" t="n"/>
      <c r="F7" s="28">
        <f>SUM(I11:I20)</f>
        <v/>
      </c>
      <c r="G7" s="29" t="n"/>
      <c r="H7" s="29" t="n"/>
      <c r="I7" s="31">
        <f>IF(E4="","",E4-F7)</f>
        <v/>
      </c>
      <c r="J7" s="29" t="n"/>
      <c r="K7" s="31">
        <f>IF(E4="","",E4-D7)</f>
        <v/>
      </c>
      <c r="L7" s="29" t="n"/>
      <c r="M7" s="32">
        <f>COUNTIF(L11:L20,"CRESCENDO*")</f>
        <v/>
      </c>
      <c r="N7" s="29" t="n"/>
      <c r="O7" s="1" t="n"/>
    </row>
    <row r="8">
      <c r="A8" s="33" t="inlineStr">
        <is>
          <t>o que você deve hoje</t>
        </is>
      </c>
      <c r="D8" s="33" t="inlineStr">
        <is>
          <t>juros de 1 mês (vida × taxa)</t>
        </is>
      </c>
      <c r="F8" s="33" t="inlineStr">
        <is>
          <t>para nenhuma atrasar</t>
        </is>
      </c>
      <c r="I8" s="33" t="inlineStr">
        <is>
          <t>vai inteira para UM chefão</t>
        </is>
      </c>
      <c r="K8" s="33" t="inlineStr">
        <is>
          <t>o que pagar − o ataque do mês</t>
        </is>
      </c>
      <c r="M8" s="33" t="inlineStr">
        <is>
          <t>mínimo menor que o ataque</t>
        </is>
      </c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4">
        <f>IF(E4="","",IF(E4&lt;F7,"Não cobre nem os mínimos: veja a Fase 4 do livro (renegociar, trocar de dívida).",""))</f>
        <v/>
      </c>
      <c r="O9" s="1" t="n"/>
    </row>
    <row r="10" ht="34" customHeight="1">
      <c r="A10" s="26" t="inlineStr">
        <is>
          <t>#</t>
        </is>
      </c>
      <c r="B10" s="26" t="inlineStr">
        <is>
          <t>Nome da dívida (onde está)</t>
        </is>
      </c>
      <c r="C10" s="26" t="inlineStr">
        <is>
          <t>Tipo (escolha na lista)</t>
        </is>
      </c>
      <c r="D10" s="26" t="inlineStr">
        <is>
          <t>Chefão</t>
        </is>
      </c>
      <c r="E10" s="26" t="inlineStr">
        <is>
          <t>Vida (R$)
saldo devedor</t>
        </is>
      </c>
      <c r="F10" s="26" t="inlineStr">
        <is>
          <t>Taxa
sugerida</t>
        </is>
      </c>
      <c r="G10" s="26" t="inlineStr">
        <is>
          <t>Minha taxa
(opcional)</t>
        </is>
      </c>
      <c r="H10" s="26" t="inlineStr">
        <is>
          <t>Taxa
usada</t>
        </is>
      </c>
      <c r="I10" s="26" t="inlineStr">
        <is>
          <t>Mínimo ou
parcela (R$)</t>
        </is>
      </c>
      <c r="J10" s="26" t="inlineStr">
        <is>
          <t>Ataque do mês
(vida × taxa)</t>
        </is>
      </c>
      <c r="K10" s="26" t="inlineStr">
        <is>
          <t>Dano do mínimo
(mín. − ataque)</t>
        </is>
      </c>
      <c r="L10" s="26" t="inlineStr">
        <is>
          <t>Situação</t>
        </is>
      </c>
      <c r="M10" s="26" t="inlineStr">
        <is>
          <t>Ordem
Avalanche</t>
        </is>
      </c>
      <c r="N10" s="26" t="inlineStr">
        <is>
          <t>Ordem
Bola de Neve</t>
        </is>
      </c>
      <c r="O10" s="1" t="n"/>
    </row>
    <row r="11" ht="20" customHeight="1">
      <c r="A11" s="35" t="n">
        <v>1</v>
      </c>
      <c r="B11" s="36" t="inlineStr">
        <is>
          <t>EXEMPLO · Cartão do banco</t>
        </is>
      </c>
      <c r="C11" s="36" t="inlineStr">
        <is>
          <t>Parcelamento da fatura</t>
        </is>
      </c>
      <c r="D11" s="37">
        <f>IF(C11="","",IFERROR(INDEX(Taxas!$B$5:$B$13,MATCH(C11,Taxas!$A$5:$A$13,0)),""))</f>
        <v/>
      </c>
      <c r="E11" s="38" t="n">
        <v>2000</v>
      </c>
      <c r="F11" s="39">
        <f>IF(C11="","",IFERROR(IF(INDEX(Taxas!$D$5:$D$13,MATCH(C11,Taxas!$A$5:$A$13,0))="","",INDEX(Taxas!$D$5:$D$13,MATCH(C11,Taxas!$A$5:$A$13,0))),""))</f>
        <v/>
      </c>
      <c r="G11" s="40" t="n"/>
      <c r="H11" s="41">
        <f>IF(ISNUMBER(G11),IF(G11&gt;1,G11/100,G11),F11)</f>
        <v/>
      </c>
      <c r="I11" s="38" t="n">
        <v>100</v>
      </c>
      <c r="J11" s="42">
        <f>IF(AND(ISNUMBER(E11),E11&gt;0,ISNUMBER(H11)),E11*H11,"")</f>
        <v/>
      </c>
      <c r="K11" s="43">
        <f>IF(AND(ISNUMBER(J11),ISNUMBER(I11)),I11-J11,"")</f>
        <v/>
      </c>
      <c r="L11" s="44">
        <f>IF(NOT(ISNUMBER(E11)),"",IF(E11&lt;=0,"FASE VENCIDA",IF(NOT(ISNUMBER(H11)),"Falta a taxa",IF(NOT(ISNUMBER(I11)),"Falta o mínimo",IF(ROUND(I11,2)&lt;ROUND(J11,2),"CRESCENDO: o mínimo não cobre o ataque",IF(ROUND(I11,2)=ROUND(J11,2),"Parado: o mínimo só paga os juros","Perdendo vida"))))))</f>
        <v/>
      </c>
      <c r="M11" s="45">
        <f>IF(AND(ISNUMBER(E11),E11&gt;0,ISNUMBER(H11)),1+SUMPRODUCT(ISNUMBER($E$11:$E$20)*($E$11:$E$20&gt;0)*ISNUMBER($H$11:$H$20)*($H$11:$H$20&gt;H11))+SUMPRODUCT(ISNUMBER($E$11:$E$20)*($E$11:$E$20&gt;0)*ISNUMBER($H$11:$H$20)*($H$11:$H$20=H11)*(ROW($H$11:$H$20)&lt;ROW(H11))),"")</f>
        <v/>
      </c>
      <c r="N11" s="45">
        <f>IF(AND(ISNUMBER(E11),E11&gt;0,ISNUMBER(H11)),1+SUMPRODUCT(ISNUMBER($E$11:$E$20)*($E$11:$E$20&gt;0)*ISNUMBER($H$11:$H$20)*($E$11:$E$20&lt;E11))+SUMPRODUCT(ISNUMBER($E$11:$E$20)*($E$11:$E$20&gt;0)*ISNUMBER($H$11:$H$20)*($E$11:$E$20=E11)*(ROW($E$11:$E$20)&lt;ROW(E11))),"")</f>
        <v/>
      </c>
      <c r="O11" s="1" t="n"/>
    </row>
    <row r="12" ht="20" customHeight="1">
      <c r="A12" s="35" t="n">
        <v>2</v>
      </c>
      <c r="B12" s="36" t="inlineStr">
        <is>
          <t>EXEMPLO · Cheque especial</t>
        </is>
      </c>
      <c r="C12" s="36" t="inlineStr">
        <is>
          <t>Cheque especial</t>
        </is>
      </c>
      <c r="D12" s="37">
        <f>IF(C12="","",IFERROR(INDEX(Taxas!$B$5:$B$13,MATCH(C12,Taxas!$A$5:$A$13,0)),""))</f>
        <v/>
      </c>
      <c r="E12" s="38" t="n">
        <v>800</v>
      </c>
      <c r="F12" s="39">
        <f>IF(C12="","",IFERROR(IF(INDEX(Taxas!$D$5:$D$13,MATCH(C12,Taxas!$A$5:$A$13,0))="","",INDEX(Taxas!$D$5:$D$13,MATCH(C12,Taxas!$A$5:$A$13,0))),""))</f>
        <v/>
      </c>
      <c r="G12" s="40" t="n"/>
      <c r="H12" s="41">
        <f>IF(ISNUMBER(G12),IF(G12&gt;1,G12/100,G12),F12)</f>
        <v/>
      </c>
      <c r="I12" s="38" t="n">
        <v>50</v>
      </c>
      <c r="J12" s="42">
        <f>IF(AND(ISNUMBER(E12),E12&gt;0,ISNUMBER(H12)),E12*H12,"")</f>
        <v/>
      </c>
      <c r="K12" s="43">
        <f>IF(AND(ISNUMBER(J12),ISNUMBER(I12)),I12-J12,"")</f>
        <v/>
      </c>
      <c r="L12" s="44">
        <f>IF(NOT(ISNUMBER(E12)),"",IF(E12&lt;=0,"FASE VENCIDA",IF(NOT(ISNUMBER(H12)),"Falta a taxa",IF(NOT(ISNUMBER(I12)),"Falta o mínimo",IF(ROUND(I12,2)&lt;ROUND(J12,2),"CRESCENDO: o mínimo não cobre o ataque",IF(ROUND(I12,2)=ROUND(J12,2),"Parado: o mínimo só paga os juros","Perdendo vida"))))))</f>
        <v/>
      </c>
      <c r="M12" s="45">
        <f>IF(AND(ISNUMBER(E12),E12&gt;0,ISNUMBER(H12)),1+SUMPRODUCT(ISNUMBER($E$11:$E$20)*($E$11:$E$20&gt;0)*ISNUMBER($H$11:$H$20)*($H$11:$H$20&gt;H12))+SUMPRODUCT(ISNUMBER($E$11:$E$20)*($E$11:$E$20&gt;0)*ISNUMBER($H$11:$H$20)*($H$11:$H$20=H12)*(ROW($H$11:$H$20)&lt;ROW(H12))),"")</f>
        <v/>
      </c>
      <c r="N12" s="45">
        <f>IF(AND(ISNUMBER(E12),E12&gt;0,ISNUMBER(H12)),1+SUMPRODUCT(ISNUMBER($E$11:$E$20)*($E$11:$E$20&gt;0)*ISNUMBER($H$11:$H$20)*($E$11:$E$20&lt;E12))+SUMPRODUCT(ISNUMBER($E$11:$E$20)*($E$11:$E$20&gt;0)*ISNUMBER($H$11:$H$20)*($E$11:$E$20=E12)*(ROW($E$11:$E$20)&lt;ROW(E12))),"")</f>
        <v/>
      </c>
      <c r="O12" s="1" t="n"/>
    </row>
    <row r="13" ht="20" customHeight="1">
      <c r="A13" s="35" t="n">
        <v>3</v>
      </c>
      <c r="B13" s="36" t="inlineStr">
        <is>
          <t>EXEMPLO · Empréstimo do app</t>
        </is>
      </c>
      <c r="C13" s="36" t="inlineStr">
        <is>
          <t>Crédito pessoal</t>
        </is>
      </c>
      <c r="D13" s="37">
        <f>IF(C13="","",IFERROR(INDEX(Taxas!$B$5:$B$13,MATCH(C13,Taxas!$A$5:$A$13,0)),""))</f>
        <v/>
      </c>
      <c r="E13" s="38" t="n">
        <v>3000</v>
      </c>
      <c r="F13" s="39">
        <f>IF(C13="","",IFERROR(IF(INDEX(Taxas!$D$5:$D$13,MATCH(C13,Taxas!$A$5:$A$13,0))="","",INDEX(Taxas!$D$5:$D$13,MATCH(C13,Taxas!$A$5:$A$13,0))),""))</f>
        <v/>
      </c>
      <c r="G13" s="40" t="n"/>
      <c r="H13" s="41">
        <f>IF(ISNUMBER(G13),IF(G13&gt;1,G13/100,G13),F13)</f>
        <v/>
      </c>
      <c r="I13" s="38" t="n">
        <v>150</v>
      </c>
      <c r="J13" s="42">
        <f>IF(AND(ISNUMBER(E13),E13&gt;0,ISNUMBER(H13)),E13*H13,"")</f>
        <v/>
      </c>
      <c r="K13" s="43">
        <f>IF(AND(ISNUMBER(J13),ISNUMBER(I13)),I13-J13,"")</f>
        <v/>
      </c>
      <c r="L13" s="44">
        <f>IF(NOT(ISNUMBER(E13)),"",IF(E13&lt;=0,"FASE VENCIDA",IF(NOT(ISNUMBER(H13)),"Falta a taxa",IF(NOT(ISNUMBER(I13)),"Falta o mínimo",IF(ROUND(I13,2)&lt;ROUND(J13,2),"CRESCENDO: o mínimo não cobre o ataque",IF(ROUND(I13,2)=ROUND(J13,2),"Parado: o mínimo só paga os juros","Perdendo vida"))))))</f>
        <v/>
      </c>
      <c r="M13" s="45">
        <f>IF(AND(ISNUMBER(E13),E13&gt;0,ISNUMBER(H13)),1+SUMPRODUCT(ISNUMBER($E$11:$E$20)*($E$11:$E$20&gt;0)*ISNUMBER($H$11:$H$20)*($H$11:$H$20&gt;H13))+SUMPRODUCT(ISNUMBER($E$11:$E$20)*($E$11:$E$20&gt;0)*ISNUMBER($H$11:$H$20)*($H$11:$H$20=H13)*(ROW($H$11:$H$20)&lt;ROW(H13))),"")</f>
        <v/>
      </c>
      <c r="N13" s="45">
        <f>IF(AND(ISNUMBER(E13),E13&gt;0,ISNUMBER(H13)),1+SUMPRODUCT(ISNUMBER($E$11:$E$20)*($E$11:$E$20&gt;0)*ISNUMBER($H$11:$H$20)*($E$11:$E$20&lt;E13))+SUMPRODUCT(ISNUMBER($E$11:$E$20)*($E$11:$E$20&gt;0)*ISNUMBER($H$11:$H$20)*($E$11:$E$20=E13)*(ROW($E$11:$E$20)&lt;ROW(E13))),"")</f>
        <v/>
      </c>
      <c r="O13" s="1" t="n"/>
    </row>
    <row r="14" ht="20" customHeight="1">
      <c r="A14" s="35" t="n">
        <v>4</v>
      </c>
      <c r="B14" s="36" t="n"/>
      <c r="C14" s="36" t="n"/>
      <c r="D14" s="37">
        <f>IF(C14="","",IFERROR(INDEX(Taxas!$B$5:$B$13,MATCH(C14,Taxas!$A$5:$A$13,0)),""))</f>
        <v/>
      </c>
      <c r="E14" s="38" t="n"/>
      <c r="F14" s="39">
        <f>IF(C14="","",IFERROR(IF(INDEX(Taxas!$D$5:$D$13,MATCH(C14,Taxas!$A$5:$A$13,0))="","",INDEX(Taxas!$D$5:$D$13,MATCH(C14,Taxas!$A$5:$A$13,0))),""))</f>
        <v/>
      </c>
      <c r="G14" s="40" t="n"/>
      <c r="H14" s="41">
        <f>IF(ISNUMBER(G14),IF(G14&gt;1,G14/100,G14),F14)</f>
        <v/>
      </c>
      <c r="I14" s="38" t="n"/>
      <c r="J14" s="42">
        <f>IF(AND(ISNUMBER(E14),E14&gt;0,ISNUMBER(H14)),E14*H14,"")</f>
        <v/>
      </c>
      <c r="K14" s="43">
        <f>IF(AND(ISNUMBER(J14),ISNUMBER(I14)),I14-J14,"")</f>
        <v/>
      </c>
      <c r="L14" s="44">
        <f>IF(NOT(ISNUMBER(E14)),"",IF(E14&lt;=0,"FASE VENCIDA",IF(NOT(ISNUMBER(H14)),"Falta a taxa",IF(NOT(ISNUMBER(I14)),"Falta o mínimo",IF(ROUND(I14,2)&lt;ROUND(J14,2),"CRESCENDO: o mínimo não cobre o ataque",IF(ROUND(I14,2)=ROUND(J14,2),"Parado: o mínimo só paga os juros","Perdendo vida"))))))</f>
        <v/>
      </c>
      <c r="M14" s="45">
        <f>IF(AND(ISNUMBER(E14),E14&gt;0,ISNUMBER(H14)),1+SUMPRODUCT(ISNUMBER($E$11:$E$20)*($E$11:$E$20&gt;0)*ISNUMBER($H$11:$H$20)*($H$11:$H$20&gt;H14))+SUMPRODUCT(ISNUMBER($E$11:$E$20)*($E$11:$E$20&gt;0)*ISNUMBER($H$11:$H$20)*($H$11:$H$20=H14)*(ROW($H$11:$H$20)&lt;ROW(H14))),"")</f>
        <v/>
      </c>
      <c r="N14" s="45">
        <f>IF(AND(ISNUMBER(E14),E14&gt;0,ISNUMBER(H14)),1+SUMPRODUCT(ISNUMBER($E$11:$E$20)*($E$11:$E$20&gt;0)*ISNUMBER($H$11:$H$20)*($E$11:$E$20&lt;E14))+SUMPRODUCT(ISNUMBER($E$11:$E$20)*($E$11:$E$20&gt;0)*ISNUMBER($H$11:$H$20)*($E$11:$E$20=E14)*(ROW($E$11:$E$20)&lt;ROW(E14))),"")</f>
        <v/>
      </c>
      <c r="O14" s="1" t="n"/>
    </row>
    <row r="15" ht="20" customHeight="1">
      <c r="A15" s="35" t="n">
        <v>5</v>
      </c>
      <c r="B15" s="36" t="n"/>
      <c r="C15" s="36" t="n"/>
      <c r="D15" s="37">
        <f>IF(C15="","",IFERROR(INDEX(Taxas!$B$5:$B$13,MATCH(C15,Taxas!$A$5:$A$13,0)),""))</f>
        <v/>
      </c>
      <c r="E15" s="38" t="n"/>
      <c r="F15" s="39">
        <f>IF(C15="","",IFERROR(IF(INDEX(Taxas!$D$5:$D$13,MATCH(C15,Taxas!$A$5:$A$13,0))="","",INDEX(Taxas!$D$5:$D$13,MATCH(C15,Taxas!$A$5:$A$13,0))),""))</f>
        <v/>
      </c>
      <c r="G15" s="40" t="n"/>
      <c r="H15" s="41">
        <f>IF(ISNUMBER(G15),IF(G15&gt;1,G15/100,G15),F15)</f>
        <v/>
      </c>
      <c r="I15" s="38" t="n"/>
      <c r="J15" s="42">
        <f>IF(AND(ISNUMBER(E15),E15&gt;0,ISNUMBER(H15)),E15*H15,"")</f>
        <v/>
      </c>
      <c r="K15" s="43">
        <f>IF(AND(ISNUMBER(J15),ISNUMBER(I15)),I15-J15,"")</f>
        <v/>
      </c>
      <c r="L15" s="44">
        <f>IF(NOT(ISNUMBER(E15)),"",IF(E15&lt;=0,"FASE VENCIDA",IF(NOT(ISNUMBER(H15)),"Falta a taxa",IF(NOT(ISNUMBER(I15)),"Falta o mínimo",IF(ROUND(I15,2)&lt;ROUND(J15,2),"CRESCENDO: o mínimo não cobre o ataque",IF(ROUND(I15,2)=ROUND(J15,2),"Parado: o mínimo só paga os juros","Perdendo vida"))))))</f>
        <v/>
      </c>
      <c r="M15" s="45">
        <f>IF(AND(ISNUMBER(E15),E15&gt;0,ISNUMBER(H15)),1+SUMPRODUCT(ISNUMBER($E$11:$E$20)*($E$11:$E$20&gt;0)*ISNUMBER($H$11:$H$20)*($H$11:$H$20&gt;H15))+SUMPRODUCT(ISNUMBER($E$11:$E$20)*($E$11:$E$20&gt;0)*ISNUMBER($H$11:$H$20)*($H$11:$H$20=H15)*(ROW($H$11:$H$20)&lt;ROW(H15))),"")</f>
        <v/>
      </c>
      <c r="N15" s="45">
        <f>IF(AND(ISNUMBER(E15),E15&gt;0,ISNUMBER(H15)),1+SUMPRODUCT(ISNUMBER($E$11:$E$20)*($E$11:$E$20&gt;0)*ISNUMBER($H$11:$H$20)*($E$11:$E$20&lt;E15))+SUMPRODUCT(ISNUMBER($E$11:$E$20)*($E$11:$E$20&gt;0)*ISNUMBER($H$11:$H$20)*($E$11:$E$20=E15)*(ROW($E$11:$E$20)&lt;ROW(E15))),"")</f>
        <v/>
      </c>
      <c r="O15" s="1" t="n"/>
    </row>
    <row r="16" ht="20" customHeight="1">
      <c r="A16" s="35" t="n">
        <v>6</v>
      </c>
      <c r="B16" s="36" t="n"/>
      <c r="C16" s="36" t="n"/>
      <c r="D16" s="37">
        <f>IF(C16="","",IFERROR(INDEX(Taxas!$B$5:$B$13,MATCH(C16,Taxas!$A$5:$A$13,0)),""))</f>
        <v/>
      </c>
      <c r="E16" s="38" t="n"/>
      <c r="F16" s="39">
        <f>IF(C16="","",IFERROR(IF(INDEX(Taxas!$D$5:$D$13,MATCH(C16,Taxas!$A$5:$A$13,0))="","",INDEX(Taxas!$D$5:$D$13,MATCH(C16,Taxas!$A$5:$A$13,0))),""))</f>
        <v/>
      </c>
      <c r="G16" s="40" t="n"/>
      <c r="H16" s="41">
        <f>IF(ISNUMBER(G16),IF(G16&gt;1,G16/100,G16),F16)</f>
        <v/>
      </c>
      <c r="I16" s="38" t="n"/>
      <c r="J16" s="42">
        <f>IF(AND(ISNUMBER(E16),E16&gt;0,ISNUMBER(H16)),E16*H16,"")</f>
        <v/>
      </c>
      <c r="K16" s="43">
        <f>IF(AND(ISNUMBER(J16),ISNUMBER(I16)),I16-J16,"")</f>
        <v/>
      </c>
      <c r="L16" s="44">
        <f>IF(NOT(ISNUMBER(E16)),"",IF(E16&lt;=0,"FASE VENCIDA",IF(NOT(ISNUMBER(H16)),"Falta a taxa",IF(NOT(ISNUMBER(I16)),"Falta o mínimo",IF(ROUND(I16,2)&lt;ROUND(J16,2),"CRESCENDO: o mínimo não cobre o ataque",IF(ROUND(I16,2)=ROUND(J16,2),"Parado: o mínimo só paga os juros","Perdendo vida"))))))</f>
        <v/>
      </c>
      <c r="M16" s="45">
        <f>IF(AND(ISNUMBER(E16),E16&gt;0,ISNUMBER(H16)),1+SUMPRODUCT(ISNUMBER($E$11:$E$20)*($E$11:$E$20&gt;0)*ISNUMBER($H$11:$H$20)*($H$11:$H$20&gt;H16))+SUMPRODUCT(ISNUMBER($E$11:$E$20)*($E$11:$E$20&gt;0)*ISNUMBER($H$11:$H$20)*($H$11:$H$20=H16)*(ROW($H$11:$H$20)&lt;ROW(H16))),"")</f>
        <v/>
      </c>
      <c r="N16" s="45">
        <f>IF(AND(ISNUMBER(E16),E16&gt;0,ISNUMBER(H16)),1+SUMPRODUCT(ISNUMBER($E$11:$E$20)*($E$11:$E$20&gt;0)*ISNUMBER($H$11:$H$20)*($E$11:$E$20&lt;E16))+SUMPRODUCT(ISNUMBER($E$11:$E$20)*($E$11:$E$20&gt;0)*ISNUMBER($H$11:$H$20)*($E$11:$E$20=E16)*(ROW($E$11:$E$20)&lt;ROW(E16))),"")</f>
        <v/>
      </c>
      <c r="O16" s="1" t="n"/>
    </row>
    <row r="17" ht="20" customHeight="1">
      <c r="A17" s="35" t="n">
        <v>7</v>
      </c>
      <c r="B17" s="36" t="n"/>
      <c r="C17" s="36" t="n"/>
      <c r="D17" s="37">
        <f>IF(C17="","",IFERROR(INDEX(Taxas!$B$5:$B$13,MATCH(C17,Taxas!$A$5:$A$13,0)),""))</f>
        <v/>
      </c>
      <c r="E17" s="38" t="n"/>
      <c r="F17" s="39">
        <f>IF(C17="","",IFERROR(IF(INDEX(Taxas!$D$5:$D$13,MATCH(C17,Taxas!$A$5:$A$13,0))="","",INDEX(Taxas!$D$5:$D$13,MATCH(C17,Taxas!$A$5:$A$13,0))),""))</f>
        <v/>
      </c>
      <c r="G17" s="40" t="n"/>
      <c r="H17" s="41">
        <f>IF(ISNUMBER(G17),IF(G17&gt;1,G17/100,G17),F17)</f>
        <v/>
      </c>
      <c r="I17" s="38" t="n"/>
      <c r="J17" s="42">
        <f>IF(AND(ISNUMBER(E17),E17&gt;0,ISNUMBER(H17)),E17*H17,"")</f>
        <v/>
      </c>
      <c r="K17" s="43">
        <f>IF(AND(ISNUMBER(J17),ISNUMBER(I17)),I17-J17,"")</f>
        <v/>
      </c>
      <c r="L17" s="44">
        <f>IF(NOT(ISNUMBER(E17)),"",IF(E17&lt;=0,"FASE VENCIDA",IF(NOT(ISNUMBER(H17)),"Falta a taxa",IF(NOT(ISNUMBER(I17)),"Falta o mínimo",IF(ROUND(I17,2)&lt;ROUND(J17,2),"CRESCENDO: o mínimo não cobre o ataque",IF(ROUND(I17,2)=ROUND(J17,2),"Parado: o mínimo só paga os juros","Perdendo vida"))))))</f>
        <v/>
      </c>
      <c r="M17" s="45">
        <f>IF(AND(ISNUMBER(E17),E17&gt;0,ISNUMBER(H17)),1+SUMPRODUCT(ISNUMBER($E$11:$E$20)*($E$11:$E$20&gt;0)*ISNUMBER($H$11:$H$20)*($H$11:$H$20&gt;H17))+SUMPRODUCT(ISNUMBER($E$11:$E$20)*($E$11:$E$20&gt;0)*ISNUMBER($H$11:$H$20)*($H$11:$H$20=H17)*(ROW($H$11:$H$20)&lt;ROW(H17))),"")</f>
        <v/>
      </c>
      <c r="N17" s="45">
        <f>IF(AND(ISNUMBER(E17),E17&gt;0,ISNUMBER(H17)),1+SUMPRODUCT(ISNUMBER($E$11:$E$20)*($E$11:$E$20&gt;0)*ISNUMBER($H$11:$H$20)*($E$11:$E$20&lt;E17))+SUMPRODUCT(ISNUMBER($E$11:$E$20)*($E$11:$E$20&gt;0)*ISNUMBER($H$11:$H$20)*($E$11:$E$20=E17)*(ROW($E$11:$E$20)&lt;ROW(E17))),"")</f>
        <v/>
      </c>
      <c r="O17" s="1" t="n"/>
    </row>
    <row r="18" ht="20" customHeight="1">
      <c r="A18" s="35" t="n">
        <v>8</v>
      </c>
      <c r="B18" s="36" t="n"/>
      <c r="C18" s="36" t="n"/>
      <c r="D18" s="37">
        <f>IF(C18="","",IFERROR(INDEX(Taxas!$B$5:$B$13,MATCH(C18,Taxas!$A$5:$A$13,0)),""))</f>
        <v/>
      </c>
      <c r="E18" s="38" t="n"/>
      <c r="F18" s="39">
        <f>IF(C18="","",IFERROR(IF(INDEX(Taxas!$D$5:$D$13,MATCH(C18,Taxas!$A$5:$A$13,0))="","",INDEX(Taxas!$D$5:$D$13,MATCH(C18,Taxas!$A$5:$A$13,0))),""))</f>
        <v/>
      </c>
      <c r="G18" s="40" t="n"/>
      <c r="H18" s="41">
        <f>IF(ISNUMBER(G18),IF(G18&gt;1,G18/100,G18),F18)</f>
        <v/>
      </c>
      <c r="I18" s="38" t="n"/>
      <c r="J18" s="42">
        <f>IF(AND(ISNUMBER(E18),E18&gt;0,ISNUMBER(H18)),E18*H18,"")</f>
        <v/>
      </c>
      <c r="K18" s="43">
        <f>IF(AND(ISNUMBER(J18),ISNUMBER(I18)),I18-J18,"")</f>
        <v/>
      </c>
      <c r="L18" s="44">
        <f>IF(NOT(ISNUMBER(E18)),"",IF(E18&lt;=0,"FASE VENCIDA",IF(NOT(ISNUMBER(H18)),"Falta a taxa",IF(NOT(ISNUMBER(I18)),"Falta o mínimo",IF(ROUND(I18,2)&lt;ROUND(J18,2),"CRESCENDO: o mínimo não cobre o ataque",IF(ROUND(I18,2)=ROUND(J18,2),"Parado: o mínimo só paga os juros","Perdendo vida"))))))</f>
        <v/>
      </c>
      <c r="M18" s="45">
        <f>IF(AND(ISNUMBER(E18),E18&gt;0,ISNUMBER(H18)),1+SUMPRODUCT(ISNUMBER($E$11:$E$20)*($E$11:$E$20&gt;0)*ISNUMBER($H$11:$H$20)*($H$11:$H$20&gt;H18))+SUMPRODUCT(ISNUMBER($E$11:$E$20)*($E$11:$E$20&gt;0)*ISNUMBER($H$11:$H$20)*($H$11:$H$20=H18)*(ROW($H$11:$H$20)&lt;ROW(H18))),"")</f>
        <v/>
      </c>
      <c r="N18" s="45">
        <f>IF(AND(ISNUMBER(E18),E18&gt;0,ISNUMBER(H18)),1+SUMPRODUCT(ISNUMBER($E$11:$E$20)*($E$11:$E$20&gt;0)*ISNUMBER($H$11:$H$20)*($E$11:$E$20&lt;E18))+SUMPRODUCT(ISNUMBER($E$11:$E$20)*($E$11:$E$20&gt;0)*ISNUMBER($H$11:$H$20)*($E$11:$E$20=E18)*(ROW($E$11:$E$20)&lt;ROW(E18))),"")</f>
        <v/>
      </c>
      <c r="O18" s="1" t="n"/>
    </row>
    <row r="19" ht="20" customHeight="1">
      <c r="A19" s="35" t="n">
        <v>9</v>
      </c>
      <c r="B19" s="36" t="n"/>
      <c r="C19" s="36" t="n"/>
      <c r="D19" s="37">
        <f>IF(C19="","",IFERROR(INDEX(Taxas!$B$5:$B$13,MATCH(C19,Taxas!$A$5:$A$13,0)),""))</f>
        <v/>
      </c>
      <c r="E19" s="38" t="n"/>
      <c r="F19" s="39">
        <f>IF(C19="","",IFERROR(IF(INDEX(Taxas!$D$5:$D$13,MATCH(C19,Taxas!$A$5:$A$13,0))="","",INDEX(Taxas!$D$5:$D$13,MATCH(C19,Taxas!$A$5:$A$13,0))),""))</f>
        <v/>
      </c>
      <c r="G19" s="40" t="n"/>
      <c r="H19" s="41">
        <f>IF(ISNUMBER(G19),IF(G19&gt;1,G19/100,G19),F19)</f>
        <v/>
      </c>
      <c r="I19" s="38" t="n"/>
      <c r="J19" s="42">
        <f>IF(AND(ISNUMBER(E19),E19&gt;0,ISNUMBER(H19)),E19*H19,"")</f>
        <v/>
      </c>
      <c r="K19" s="43">
        <f>IF(AND(ISNUMBER(J19),ISNUMBER(I19)),I19-J19,"")</f>
        <v/>
      </c>
      <c r="L19" s="44">
        <f>IF(NOT(ISNUMBER(E19)),"",IF(E19&lt;=0,"FASE VENCIDA",IF(NOT(ISNUMBER(H19)),"Falta a taxa",IF(NOT(ISNUMBER(I19)),"Falta o mínimo",IF(ROUND(I19,2)&lt;ROUND(J19,2),"CRESCENDO: o mínimo não cobre o ataque",IF(ROUND(I19,2)=ROUND(J19,2),"Parado: o mínimo só paga os juros","Perdendo vida"))))))</f>
        <v/>
      </c>
      <c r="M19" s="45">
        <f>IF(AND(ISNUMBER(E19),E19&gt;0,ISNUMBER(H19)),1+SUMPRODUCT(ISNUMBER($E$11:$E$20)*($E$11:$E$20&gt;0)*ISNUMBER($H$11:$H$20)*($H$11:$H$20&gt;H19))+SUMPRODUCT(ISNUMBER($E$11:$E$20)*($E$11:$E$20&gt;0)*ISNUMBER($H$11:$H$20)*($H$11:$H$20=H19)*(ROW($H$11:$H$20)&lt;ROW(H19))),"")</f>
        <v/>
      </c>
      <c r="N19" s="45">
        <f>IF(AND(ISNUMBER(E19),E19&gt;0,ISNUMBER(H19)),1+SUMPRODUCT(ISNUMBER($E$11:$E$20)*($E$11:$E$20&gt;0)*ISNUMBER($H$11:$H$20)*($E$11:$E$20&lt;E19))+SUMPRODUCT(ISNUMBER($E$11:$E$20)*($E$11:$E$20&gt;0)*ISNUMBER($H$11:$H$20)*($E$11:$E$20=E19)*(ROW($E$11:$E$20)&lt;ROW(E19))),"")</f>
        <v/>
      </c>
      <c r="O19" s="1" t="n"/>
    </row>
    <row r="20" ht="20" customHeight="1">
      <c r="A20" s="35" t="n">
        <v>10</v>
      </c>
      <c r="B20" s="36" t="n"/>
      <c r="C20" s="36" t="n"/>
      <c r="D20" s="37">
        <f>IF(C20="","",IFERROR(INDEX(Taxas!$B$5:$B$13,MATCH(C20,Taxas!$A$5:$A$13,0)),""))</f>
        <v/>
      </c>
      <c r="E20" s="38" t="n"/>
      <c r="F20" s="39">
        <f>IF(C20="","",IFERROR(IF(INDEX(Taxas!$D$5:$D$13,MATCH(C20,Taxas!$A$5:$A$13,0))="","",INDEX(Taxas!$D$5:$D$13,MATCH(C20,Taxas!$A$5:$A$13,0))),""))</f>
        <v/>
      </c>
      <c r="G20" s="40" t="n"/>
      <c r="H20" s="41">
        <f>IF(ISNUMBER(G20),IF(G20&gt;1,G20/100,G20),F20)</f>
        <v/>
      </c>
      <c r="I20" s="38" t="n"/>
      <c r="J20" s="42">
        <f>IF(AND(ISNUMBER(E20),E20&gt;0,ISNUMBER(H20)),E20*H20,"")</f>
        <v/>
      </c>
      <c r="K20" s="43">
        <f>IF(AND(ISNUMBER(J20),ISNUMBER(I20)),I20-J20,"")</f>
        <v/>
      </c>
      <c r="L20" s="44">
        <f>IF(NOT(ISNUMBER(E20)),"",IF(E20&lt;=0,"FASE VENCIDA",IF(NOT(ISNUMBER(H20)),"Falta a taxa",IF(NOT(ISNUMBER(I20)),"Falta o mínimo",IF(ROUND(I20,2)&lt;ROUND(J20,2),"CRESCENDO: o mínimo não cobre o ataque",IF(ROUND(I20,2)=ROUND(J20,2),"Parado: o mínimo só paga os juros","Perdendo vida"))))))</f>
        <v/>
      </c>
      <c r="M20" s="45">
        <f>IF(AND(ISNUMBER(E20),E20&gt;0,ISNUMBER(H20)),1+SUMPRODUCT(ISNUMBER($E$11:$E$20)*($E$11:$E$20&gt;0)*ISNUMBER($H$11:$H$20)*($H$11:$H$20&gt;H20))+SUMPRODUCT(ISNUMBER($E$11:$E$20)*($E$11:$E$20&gt;0)*ISNUMBER($H$11:$H$20)*($H$11:$H$20=H20)*(ROW($H$11:$H$20)&lt;ROW(H20))),"")</f>
        <v/>
      </c>
      <c r="N20" s="45">
        <f>IF(AND(ISNUMBER(E20),E20&gt;0,ISNUMBER(H20)),1+SUMPRODUCT(ISNUMBER($E$11:$E$20)*($E$11:$E$20&gt;0)*ISNUMBER($H$11:$H$20)*($E$11:$E$20&lt;E20))+SUMPRODUCT(ISNUMBER($E$11:$E$20)*($E$11:$E$20&gt;0)*ISNUMBER($H$11:$H$20)*($E$11:$E$20=E20)*(ROW($E$11:$E$20)&lt;ROW(E20))),"")</f>
        <v/>
      </c>
      <c r="O20" s="1" t="n"/>
    </row>
    <row r="21">
      <c r="A21" s="46" t="inlineStr">
        <is>
          <t>TOTAL</t>
        </is>
      </c>
      <c r="B21" s="27" t="n"/>
      <c r="C21" s="27" t="n"/>
      <c r="D21" s="27" t="n"/>
      <c r="E21" s="47">
        <f>SUM(E11:E20)</f>
        <v/>
      </c>
      <c r="F21" s="48" t="n"/>
      <c r="G21" s="48" t="n"/>
      <c r="H21" s="48" t="n"/>
      <c r="I21" s="47">
        <f>SUM(I11:I20)</f>
        <v/>
      </c>
      <c r="J21" s="47">
        <f>SUM(J11:J20)</f>
        <v/>
      </c>
      <c r="K21" s="48" t="n"/>
      <c r="L21" s="48" t="n"/>
      <c r="M21" s="48" t="n"/>
      <c r="N21" s="48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49" t="inlineStr">
        <is>
          <t>ORDEM DE ATAQUE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50" t="inlineStr">
        <is>
          <t>O primeiro da lista é o ALVO: paga o mínimo de todos e joga a sobra inteira nele. Quando ele cai, o próximo vira alvo.</t>
        </is>
      </c>
      <c r="O24" s="1" t="n"/>
    </row>
    <row r="25">
      <c r="A25" s="26" t="inlineStr">
        <is>
          <t>AVALANCHE · maior taxa primeiro (paga menos juros)</t>
        </is>
      </c>
      <c r="B25" s="27" t="n"/>
      <c r="C25" s="27" t="n"/>
      <c r="D25" s="27" t="n"/>
      <c r="E25" s="27" t="n"/>
      <c r="F25" s="27" t="n"/>
      <c r="G25" s="1" t="n"/>
      <c r="H25" s="26" t="inlineStr">
        <is>
          <t>BOLA DE NEVE · menor vida primeiro (vitória mais cedo)</t>
        </is>
      </c>
      <c r="I25" s="27" t="n"/>
      <c r="J25" s="27" t="n"/>
      <c r="K25" s="27" t="n"/>
      <c r="L25" s="27" t="n"/>
      <c r="M25" s="27" t="n"/>
      <c r="N25" s="27" t="n"/>
      <c r="O25" s="1" t="n"/>
    </row>
    <row r="26">
      <c r="A26" s="51" t="inlineStr">
        <is>
          <t>Ordem</t>
        </is>
      </c>
      <c r="B26" s="51" t="inlineStr">
        <is>
          <t>Dívida</t>
        </is>
      </c>
      <c r="C26" s="52" t="inlineStr">
        <is>
          <t>Chefão</t>
        </is>
      </c>
      <c r="D26" s="53" t="n"/>
      <c r="E26" s="51" t="inlineStr">
        <is>
          <t>Vida</t>
        </is>
      </c>
      <c r="F26" s="51" t="inlineStr">
        <is>
          <t>Taxa</t>
        </is>
      </c>
      <c r="G26" s="1" t="n"/>
      <c r="H26" s="51" t="inlineStr">
        <is>
          <t>Ordem</t>
        </is>
      </c>
      <c r="I26" s="52" t="inlineStr">
        <is>
          <t>Dívida</t>
        </is>
      </c>
      <c r="J26" s="53" t="n"/>
      <c r="K26" s="53" t="n"/>
      <c r="L26" s="51" t="inlineStr">
        <is>
          <t>Chefão</t>
        </is>
      </c>
      <c r="M26" s="51" t="inlineStr">
        <is>
          <t>Vida</t>
        </is>
      </c>
      <c r="N26" s="51" t="inlineStr">
        <is>
          <t>Taxa</t>
        </is>
      </c>
      <c r="O26" s="1" t="n"/>
    </row>
    <row r="27" ht="19" customHeight="1">
      <c r="A27" s="54">
        <f>IF(COUNT($M$11:$M$20)&gt;=1,1,"")</f>
        <v/>
      </c>
      <c r="B27" s="55">
        <f>IF($A27="","",IFERROR(INDEX($B$11:$B$20,MATCH($A27,$M$11:$M$20,0)),""))</f>
        <v/>
      </c>
      <c r="C27" s="55">
        <f>IF($A27="","",IFERROR(INDEX($D$11:$D$20,MATCH($A27,$M$11:$M$20,0)),""))</f>
        <v/>
      </c>
      <c r="D27" s="56" t="n"/>
      <c r="E27" s="57">
        <f>IF($A27="","",IFERROR(INDEX($E$11:$E$20,MATCH($A27,$M$11:$M$20,0)),""))</f>
        <v/>
      </c>
      <c r="F27" s="58">
        <f>IF($A27="","",IFERROR(INDEX($H$11:$H$20,MATCH($A27,$M$11:$M$20,0)),""))</f>
        <v/>
      </c>
      <c r="G27" s="59" t="inlineStr">
        <is>
          <t>← ALVO</t>
        </is>
      </c>
      <c r="H27" s="54">
        <f>IF(COUNT($N$11:$N$20)&gt;=1,1,"")</f>
        <v/>
      </c>
      <c r="I27" s="55">
        <f>IF($H27="","",IFERROR(INDEX($B$11:$B$20,MATCH($H27,$N$11:$N$20,0)),""))</f>
        <v/>
      </c>
      <c r="J27" s="56" t="n"/>
      <c r="K27" s="56" t="n"/>
      <c r="L27" s="55">
        <f>IF($H27="","",IFERROR(INDEX($D$11:$D$20,MATCH($H27,$N$11:$N$20,0)),""))</f>
        <v/>
      </c>
      <c r="M27" s="57">
        <f>IF($H27="","",IFERROR(INDEX($E$11:$E$20,MATCH($H27,$N$11:$N$20,0)),""))</f>
        <v/>
      </c>
      <c r="N27" s="58">
        <f>IF($H27="","",IFERROR(INDEX($H$11:$H$20,MATCH($H27,$N$11:$N$20,0)),""))</f>
        <v/>
      </c>
      <c r="O27" s="1" t="n"/>
    </row>
    <row r="28" ht="19" customHeight="1">
      <c r="A28" s="45">
        <f>IF(COUNT($M$11:$M$20)&gt;=2,2,"")</f>
        <v/>
      </c>
      <c r="B28" s="37">
        <f>IF($A28="","",IFERROR(INDEX($B$11:$B$20,MATCH($A28,$M$11:$M$20,0)),""))</f>
        <v/>
      </c>
      <c r="C28" s="37">
        <f>IF($A28="","",IFERROR(INDEX($D$11:$D$20,MATCH($A28,$M$11:$M$20,0)),""))</f>
        <v/>
      </c>
      <c r="D28" s="60" t="n"/>
      <c r="E28" s="61">
        <f>IF($A28="","",IFERROR(INDEX($E$11:$E$20,MATCH($A28,$M$11:$M$20,0)),""))</f>
        <v/>
      </c>
      <c r="F28" s="62">
        <f>IF($A28="","",IFERROR(INDEX($H$11:$H$20,MATCH($A28,$M$11:$M$20,0)),""))</f>
        <v/>
      </c>
      <c r="G28" s="1" t="n"/>
      <c r="H28" s="45">
        <f>IF(COUNT($N$11:$N$20)&gt;=2,2,"")</f>
        <v/>
      </c>
      <c r="I28" s="37">
        <f>IF($H28="","",IFERROR(INDEX($B$11:$B$20,MATCH($H28,$N$11:$N$20,0)),""))</f>
        <v/>
      </c>
      <c r="J28" s="60" t="n"/>
      <c r="K28" s="60" t="n"/>
      <c r="L28" s="37">
        <f>IF($H28="","",IFERROR(INDEX($D$11:$D$20,MATCH($H28,$N$11:$N$20,0)),""))</f>
        <v/>
      </c>
      <c r="M28" s="61">
        <f>IF($H28="","",IFERROR(INDEX($E$11:$E$20,MATCH($H28,$N$11:$N$20,0)),""))</f>
        <v/>
      </c>
      <c r="N28" s="62">
        <f>IF($H28="","",IFERROR(INDEX($H$11:$H$20,MATCH($H28,$N$11:$N$20,0)),""))</f>
        <v/>
      </c>
      <c r="O28" s="1" t="n"/>
    </row>
    <row r="29" ht="19" customHeight="1">
      <c r="A29" s="45">
        <f>IF(COUNT($M$11:$M$20)&gt;=3,3,"")</f>
        <v/>
      </c>
      <c r="B29" s="37">
        <f>IF($A29="","",IFERROR(INDEX($B$11:$B$20,MATCH($A29,$M$11:$M$20,0)),""))</f>
        <v/>
      </c>
      <c r="C29" s="37">
        <f>IF($A29="","",IFERROR(INDEX($D$11:$D$20,MATCH($A29,$M$11:$M$20,0)),""))</f>
        <v/>
      </c>
      <c r="D29" s="60" t="n"/>
      <c r="E29" s="61">
        <f>IF($A29="","",IFERROR(INDEX($E$11:$E$20,MATCH($A29,$M$11:$M$20,0)),""))</f>
        <v/>
      </c>
      <c r="F29" s="62">
        <f>IF($A29="","",IFERROR(INDEX($H$11:$H$20,MATCH($A29,$M$11:$M$20,0)),""))</f>
        <v/>
      </c>
      <c r="G29" s="1" t="n"/>
      <c r="H29" s="45">
        <f>IF(COUNT($N$11:$N$20)&gt;=3,3,"")</f>
        <v/>
      </c>
      <c r="I29" s="37">
        <f>IF($H29="","",IFERROR(INDEX($B$11:$B$20,MATCH($H29,$N$11:$N$20,0)),""))</f>
        <v/>
      </c>
      <c r="J29" s="60" t="n"/>
      <c r="K29" s="60" t="n"/>
      <c r="L29" s="37">
        <f>IF($H29="","",IFERROR(INDEX($D$11:$D$20,MATCH($H29,$N$11:$N$20,0)),""))</f>
        <v/>
      </c>
      <c r="M29" s="61">
        <f>IF($H29="","",IFERROR(INDEX($E$11:$E$20,MATCH($H29,$N$11:$N$20,0)),""))</f>
        <v/>
      </c>
      <c r="N29" s="62">
        <f>IF($H29="","",IFERROR(INDEX($H$11:$H$20,MATCH($H29,$N$11:$N$20,0)),""))</f>
        <v/>
      </c>
      <c r="O29" s="1" t="n"/>
    </row>
    <row r="30" ht="19" customHeight="1">
      <c r="A30" s="45">
        <f>IF(COUNT($M$11:$M$20)&gt;=4,4,"")</f>
        <v/>
      </c>
      <c r="B30" s="37">
        <f>IF($A30="","",IFERROR(INDEX($B$11:$B$20,MATCH($A30,$M$11:$M$20,0)),""))</f>
        <v/>
      </c>
      <c r="C30" s="37">
        <f>IF($A30="","",IFERROR(INDEX($D$11:$D$20,MATCH($A30,$M$11:$M$20,0)),""))</f>
        <v/>
      </c>
      <c r="D30" s="60" t="n"/>
      <c r="E30" s="61">
        <f>IF($A30="","",IFERROR(INDEX($E$11:$E$20,MATCH($A30,$M$11:$M$20,0)),""))</f>
        <v/>
      </c>
      <c r="F30" s="62">
        <f>IF($A30="","",IFERROR(INDEX($H$11:$H$20,MATCH($A30,$M$11:$M$20,0)),""))</f>
        <v/>
      </c>
      <c r="G30" s="1" t="n"/>
      <c r="H30" s="45">
        <f>IF(COUNT($N$11:$N$20)&gt;=4,4,"")</f>
        <v/>
      </c>
      <c r="I30" s="37">
        <f>IF($H30="","",IFERROR(INDEX($B$11:$B$20,MATCH($H30,$N$11:$N$20,0)),""))</f>
        <v/>
      </c>
      <c r="J30" s="60" t="n"/>
      <c r="K30" s="60" t="n"/>
      <c r="L30" s="37">
        <f>IF($H30="","",IFERROR(INDEX($D$11:$D$20,MATCH($H30,$N$11:$N$20,0)),""))</f>
        <v/>
      </c>
      <c r="M30" s="61">
        <f>IF($H30="","",IFERROR(INDEX($E$11:$E$20,MATCH($H30,$N$11:$N$20,0)),""))</f>
        <v/>
      </c>
      <c r="N30" s="62">
        <f>IF($H30="","",IFERROR(INDEX($H$11:$H$20,MATCH($H30,$N$11:$N$20,0)),""))</f>
        <v/>
      </c>
      <c r="O30" s="1" t="n"/>
    </row>
    <row r="31" ht="19" customHeight="1">
      <c r="A31" s="45">
        <f>IF(COUNT($M$11:$M$20)&gt;=5,5,"")</f>
        <v/>
      </c>
      <c r="B31" s="37">
        <f>IF($A31="","",IFERROR(INDEX($B$11:$B$20,MATCH($A31,$M$11:$M$20,0)),""))</f>
        <v/>
      </c>
      <c r="C31" s="37">
        <f>IF($A31="","",IFERROR(INDEX($D$11:$D$20,MATCH($A31,$M$11:$M$20,0)),""))</f>
        <v/>
      </c>
      <c r="D31" s="60" t="n"/>
      <c r="E31" s="61">
        <f>IF($A31="","",IFERROR(INDEX($E$11:$E$20,MATCH($A31,$M$11:$M$20,0)),""))</f>
        <v/>
      </c>
      <c r="F31" s="62">
        <f>IF($A31="","",IFERROR(INDEX($H$11:$H$20,MATCH($A31,$M$11:$M$20,0)),""))</f>
        <v/>
      </c>
      <c r="G31" s="1" t="n"/>
      <c r="H31" s="45">
        <f>IF(COUNT($N$11:$N$20)&gt;=5,5,"")</f>
        <v/>
      </c>
      <c r="I31" s="37">
        <f>IF($H31="","",IFERROR(INDEX($B$11:$B$20,MATCH($H31,$N$11:$N$20,0)),""))</f>
        <v/>
      </c>
      <c r="J31" s="60" t="n"/>
      <c r="K31" s="60" t="n"/>
      <c r="L31" s="37">
        <f>IF($H31="","",IFERROR(INDEX($D$11:$D$20,MATCH($H31,$N$11:$N$20,0)),""))</f>
        <v/>
      </c>
      <c r="M31" s="61">
        <f>IF($H31="","",IFERROR(INDEX($E$11:$E$20,MATCH($H31,$N$11:$N$20,0)),""))</f>
        <v/>
      </c>
      <c r="N31" s="62">
        <f>IF($H31="","",IFERROR(INDEX($H$11:$H$20,MATCH($H31,$N$11:$N$20,0)),""))</f>
        <v/>
      </c>
      <c r="O31" s="1" t="n"/>
    </row>
    <row r="32" ht="19" customHeight="1">
      <c r="A32" s="45">
        <f>IF(COUNT($M$11:$M$20)&gt;=6,6,"")</f>
        <v/>
      </c>
      <c r="B32" s="37">
        <f>IF($A32="","",IFERROR(INDEX($B$11:$B$20,MATCH($A32,$M$11:$M$20,0)),""))</f>
        <v/>
      </c>
      <c r="C32" s="37">
        <f>IF($A32="","",IFERROR(INDEX($D$11:$D$20,MATCH($A32,$M$11:$M$20,0)),""))</f>
        <v/>
      </c>
      <c r="D32" s="60" t="n"/>
      <c r="E32" s="61">
        <f>IF($A32="","",IFERROR(INDEX($E$11:$E$20,MATCH($A32,$M$11:$M$20,0)),""))</f>
        <v/>
      </c>
      <c r="F32" s="62">
        <f>IF($A32="","",IFERROR(INDEX($H$11:$H$20,MATCH($A32,$M$11:$M$20,0)),""))</f>
        <v/>
      </c>
      <c r="G32" s="1" t="n"/>
      <c r="H32" s="45">
        <f>IF(COUNT($N$11:$N$20)&gt;=6,6,"")</f>
        <v/>
      </c>
      <c r="I32" s="37">
        <f>IF($H32="","",IFERROR(INDEX($B$11:$B$20,MATCH($H32,$N$11:$N$20,0)),""))</f>
        <v/>
      </c>
      <c r="J32" s="60" t="n"/>
      <c r="K32" s="60" t="n"/>
      <c r="L32" s="37">
        <f>IF($H32="","",IFERROR(INDEX($D$11:$D$20,MATCH($H32,$N$11:$N$20,0)),""))</f>
        <v/>
      </c>
      <c r="M32" s="61">
        <f>IF($H32="","",IFERROR(INDEX($E$11:$E$20,MATCH($H32,$N$11:$N$20,0)),""))</f>
        <v/>
      </c>
      <c r="N32" s="62">
        <f>IF($H32="","",IFERROR(INDEX($H$11:$H$20,MATCH($H32,$N$11:$N$20,0)),""))</f>
        <v/>
      </c>
      <c r="O32" s="1" t="n"/>
    </row>
    <row r="33" ht="19" customHeight="1">
      <c r="A33" s="45">
        <f>IF(COUNT($M$11:$M$20)&gt;=7,7,"")</f>
        <v/>
      </c>
      <c r="B33" s="37">
        <f>IF($A33="","",IFERROR(INDEX($B$11:$B$20,MATCH($A33,$M$11:$M$20,0)),""))</f>
        <v/>
      </c>
      <c r="C33" s="37">
        <f>IF($A33="","",IFERROR(INDEX($D$11:$D$20,MATCH($A33,$M$11:$M$20,0)),""))</f>
        <v/>
      </c>
      <c r="D33" s="60" t="n"/>
      <c r="E33" s="61">
        <f>IF($A33="","",IFERROR(INDEX($E$11:$E$20,MATCH($A33,$M$11:$M$20,0)),""))</f>
        <v/>
      </c>
      <c r="F33" s="62">
        <f>IF($A33="","",IFERROR(INDEX($H$11:$H$20,MATCH($A33,$M$11:$M$20,0)),""))</f>
        <v/>
      </c>
      <c r="G33" s="1" t="n"/>
      <c r="H33" s="45">
        <f>IF(COUNT($N$11:$N$20)&gt;=7,7,"")</f>
        <v/>
      </c>
      <c r="I33" s="37">
        <f>IF($H33="","",IFERROR(INDEX($B$11:$B$20,MATCH($H33,$N$11:$N$20,0)),""))</f>
        <v/>
      </c>
      <c r="J33" s="60" t="n"/>
      <c r="K33" s="60" t="n"/>
      <c r="L33" s="37">
        <f>IF($H33="","",IFERROR(INDEX($D$11:$D$20,MATCH($H33,$N$11:$N$20,0)),""))</f>
        <v/>
      </c>
      <c r="M33" s="61">
        <f>IF($H33="","",IFERROR(INDEX($E$11:$E$20,MATCH($H33,$N$11:$N$20,0)),""))</f>
        <v/>
      </c>
      <c r="N33" s="62">
        <f>IF($H33="","",IFERROR(INDEX($H$11:$H$20,MATCH($H33,$N$11:$N$20,0)),""))</f>
        <v/>
      </c>
      <c r="O33" s="1" t="n"/>
    </row>
    <row r="34" ht="19" customHeight="1">
      <c r="A34" s="45">
        <f>IF(COUNT($M$11:$M$20)&gt;=8,8,"")</f>
        <v/>
      </c>
      <c r="B34" s="37">
        <f>IF($A34="","",IFERROR(INDEX($B$11:$B$20,MATCH($A34,$M$11:$M$20,0)),""))</f>
        <v/>
      </c>
      <c r="C34" s="37">
        <f>IF($A34="","",IFERROR(INDEX($D$11:$D$20,MATCH($A34,$M$11:$M$20,0)),""))</f>
        <v/>
      </c>
      <c r="D34" s="60" t="n"/>
      <c r="E34" s="61">
        <f>IF($A34="","",IFERROR(INDEX($E$11:$E$20,MATCH($A34,$M$11:$M$20,0)),""))</f>
        <v/>
      </c>
      <c r="F34" s="62">
        <f>IF($A34="","",IFERROR(INDEX($H$11:$H$20,MATCH($A34,$M$11:$M$20,0)),""))</f>
        <v/>
      </c>
      <c r="G34" s="1" t="n"/>
      <c r="H34" s="45">
        <f>IF(COUNT($N$11:$N$20)&gt;=8,8,"")</f>
        <v/>
      </c>
      <c r="I34" s="37">
        <f>IF($H34="","",IFERROR(INDEX($B$11:$B$20,MATCH($H34,$N$11:$N$20,0)),""))</f>
        <v/>
      </c>
      <c r="J34" s="60" t="n"/>
      <c r="K34" s="60" t="n"/>
      <c r="L34" s="37">
        <f>IF($H34="","",IFERROR(INDEX($D$11:$D$20,MATCH($H34,$N$11:$N$20,0)),""))</f>
        <v/>
      </c>
      <c r="M34" s="61">
        <f>IF($H34="","",IFERROR(INDEX($E$11:$E$20,MATCH($H34,$N$11:$N$20,0)),""))</f>
        <v/>
      </c>
      <c r="N34" s="62">
        <f>IF($H34="","",IFERROR(INDEX($H$11:$H$20,MATCH($H34,$N$11:$N$20,0)),""))</f>
        <v/>
      </c>
      <c r="O34" s="1" t="n"/>
    </row>
    <row r="35" ht="19" customHeight="1">
      <c r="A35" s="45">
        <f>IF(COUNT($M$11:$M$20)&gt;=9,9,"")</f>
        <v/>
      </c>
      <c r="B35" s="37">
        <f>IF($A35="","",IFERROR(INDEX($B$11:$B$20,MATCH($A35,$M$11:$M$20,0)),""))</f>
        <v/>
      </c>
      <c r="C35" s="37">
        <f>IF($A35="","",IFERROR(INDEX($D$11:$D$20,MATCH($A35,$M$11:$M$20,0)),""))</f>
        <v/>
      </c>
      <c r="D35" s="60" t="n"/>
      <c r="E35" s="61">
        <f>IF($A35="","",IFERROR(INDEX($E$11:$E$20,MATCH($A35,$M$11:$M$20,0)),""))</f>
        <v/>
      </c>
      <c r="F35" s="62">
        <f>IF($A35="","",IFERROR(INDEX($H$11:$H$20,MATCH($A35,$M$11:$M$20,0)),""))</f>
        <v/>
      </c>
      <c r="G35" s="1" t="n"/>
      <c r="H35" s="45">
        <f>IF(COUNT($N$11:$N$20)&gt;=9,9,"")</f>
        <v/>
      </c>
      <c r="I35" s="37">
        <f>IF($H35="","",IFERROR(INDEX($B$11:$B$20,MATCH($H35,$N$11:$N$20,0)),""))</f>
        <v/>
      </c>
      <c r="J35" s="60" t="n"/>
      <c r="K35" s="60" t="n"/>
      <c r="L35" s="37">
        <f>IF($H35="","",IFERROR(INDEX($D$11:$D$20,MATCH($H35,$N$11:$N$20,0)),""))</f>
        <v/>
      </c>
      <c r="M35" s="61">
        <f>IF($H35="","",IFERROR(INDEX($E$11:$E$20,MATCH($H35,$N$11:$N$20,0)),""))</f>
        <v/>
      </c>
      <c r="N35" s="62">
        <f>IF($H35="","",IFERROR(INDEX($H$11:$H$20,MATCH($H35,$N$11:$N$20,0)),""))</f>
        <v/>
      </c>
      <c r="O35" s="1" t="n"/>
    </row>
    <row r="36" ht="19" customHeight="1">
      <c r="A36" s="45">
        <f>IF(COUNT($M$11:$M$20)&gt;=10,10,"")</f>
        <v/>
      </c>
      <c r="B36" s="37">
        <f>IF($A36="","",IFERROR(INDEX($B$11:$B$20,MATCH($A36,$M$11:$M$20,0)),""))</f>
        <v/>
      </c>
      <c r="C36" s="37">
        <f>IF($A36="","",IFERROR(INDEX($D$11:$D$20,MATCH($A36,$M$11:$M$20,0)),""))</f>
        <v/>
      </c>
      <c r="D36" s="60" t="n"/>
      <c r="E36" s="61">
        <f>IF($A36="","",IFERROR(INDEX($E$11:$E$20,MATCH($A36,$M$11:$M$20,0)),""))</f>
        <v/>
      </c>
      <c r="F36" s="62">
        <f>IF($A36="","",IFERROR(INDEX($H$11:$H$20,MATCH($A36,$M$11:$M$20,0)),""))</f>
        <v/>
      </c>
      <c r="G36" s="1" t="n"/>
      <c r="H36" s="45">
        <f>IF(COUNT($N$11:$N$20)&gt;=10,10,"")</f>
        <v/>
      </c>
      <c r="I36" s="37">
        <f>IF($H36="","",IFERROR(INDEX($B$11:$B$20,MATCH($H36,$N$11:$N$20,0)),""))</f>
        <v/>
      </c>
      <c r="J36" s="60" t="n"/>
      <c r="K36" s="60" t="n"/>
      <c r="L36" s="37">
        <f>IF($H36="","",IFERROR(INDEX($D$11:$D$20,MATCH($H36,$N$11:$N$20,0)),""))</f>
        <v/>
      </c>
      <c r="M36" s="61">
        <f>IF($H36="","",IFERROR(INDEX($E$11:$E$20,MATCH($H36,$N$11:$N$20,0)),""))</f>
        <v/>
      </c>
      <c r="N36" s="62">
        <f>IF($H36="","",IFERROR(INDEX($H$11:$H$20,MATCH($H36,$N$11:$N$20,0)),""))</f>
        <v/>
      </c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32" customHeight="1">
      <c r="A38" s="63" t="inlineStr">
        <is>
          <t>Avalanche paga menos juros no total. Bola de Neve dá a primeira vitória mais cedo. Se você desanima fácil, vá de Bola de Neve; se aguenta esperar, Avalanche. As duas são muito melhores que pagar só o mínimo.</t>
        </is>
      </c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30" customHeight="1">
      <c r="A40" s="20" t="inlineStr">
        <is>
          <t>Educativo: não é recomendação de investimento, não promete resultado e não substitui orientação profissional. Taxas médias do Banco Central de setembro de 2026 (consignado CLT: média de agosto de 2026). Confira sempre o contrato e o CET da sua dívida.</t>
        </is>
      </c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2">
    <mergeCell ref="A40:N40"/>
    <mergeCell ref="C34:D34"/>
    <mergeCell ref="I32:K32"/>
    <mergeCell ref="I6:J6"/>
    <mergeCell ref="C30:D30"/>
    <mergeCell ref="I28:K28"/>
    <mergeCell ref="C33:D33"/>
    <mergeCell ref="A4:D4"/>
    <mergeCell ref="A24:N24"/>
    <mergeCell ref="F8:H8"/>
    <mergeCell ref="C26:D26"/>
    <mergeCell ref="C35:D35"/>
    <mergeCell ref="D6:E6"/>
    <mergeCell ref="A2:L2"/>
    <mergeCell ref="I33:K33"/>
    <mergeCell ref="C29:D29"/>
    <mergeCell ref="I7:J7"/>
    <mergeCell ref="A8:C8"/>
    <mergeCell ref="A23:F23"/>
    <mergeCell ref="I35:K35"/>
    <mergeCell ref="A25:F25"/>
    <mergeCell ref="C31:D31"/>
    <mergeCell ref="I29:K29"/>
    <mergeCell ref="M7:N7"/>
    <mergeCell ref="D7:E7"/>
    <mergeCell ref="M6:N6"/>
    <mergeCell ref="K8:L8"/>
    <mergeCell ref="C27:D27"/>
    <mergeCell ref="I31:K31"/>
    <mergeCell ref="H25:N25"/>
    <mergeCell ref="I9:N9"/>
    <mergeCell ref="C36:D36"/>
    <mergeCell ref="I34:K34"/>
    <mergeCell ref="I8:J8"/>
    <mergeCell ref="I30:K30"/>
    <mergeCell ref="M8:N8"/>
    <mergeCell ref="D8:E8"/>
    <mergeCell ref="K7:L7"/>
    <mergeCell ref="F6:H6"/>
    <mergeCell ref="C32:D32"/>
    <mergeCell ref="I36:K36"/>
    <mergeCell ref="I27:K27"/>
    <mergeCell ref="A1:F1"/>
    <mergeCell ref="A38:N38"/>
    <mergeCell ref="A6:C6"/>
    <mergeCell ref="A21:D21"/>
    <mergeCell ref="C28:D28"/>
    <mergeCell ref="I26:K26"/>
    <mergeCell ref="F7:H7"/>
    <mergeCell ref="K6:L6"/>
    <mergeCell ref="A7:C7"/>
    <mergeCell ref="F4:J4"/>
  </mergeCells>
  <conditionalFormatting sqref="L11:L20">
    <cfRule type="expression" priority="1" dxfId="0">
      <formula>LEFT(L11,9)="CRESCENDO"</formula>
    </cfRule>
    <cfRule type="expression" priority="2" dxfId="1">
      <formula>LEFT(L11,6)="Parado"</formula>
    </cfRule>
    <cfRule type="expression" priority="3" dxfId="2">
      <formula>LEFT(L11,5)="Falta"</formula>
    </cfRule>
    <cfRule type="expression" priority="4" dxfId="3">
      <formula>OR(L11="Perdendo vida",L11="FASE VENCIDA")</formula>
    </cfRule>
  </conditionalFormatting>
  <conditionalFormatting sqref="K11:K20">
    <cfRule type="expression" priority="5" dxfId="4">
      <formula>AND(ISNUMBER(K11),K11&lt;0)</formula>
    </cfRule>
  </conditionalFormatting>
  <conditionalFormatting sqref="M11:N20">
    <cfRule type="expression" priority="6" dxfId="2">
      <formula>M11=1</formula>
    </cfRule>
  </conditionalFormatting>
  <conditionalFormatting sqref="I7">
    <cfRule type="expression" priority="7" dxfId="5">
      <formula>AND(ISNUMBER(I7),I7&lt;0)</formula>
    </cfRule>
  </conditionalFormatting>
  <dataValidations count="3">
    <dataValidation sqref="C11:C20" showDropDown="0" showInputMessage="0" showErrorMessage="1" allowBlank="1" errorTitle="Tipo de dívida" error="Escolha um tipo da lista. Não achou o seu? Use &quot;Outra dívida&quot;." type="list">
      <formula1>Taxas!$A$5:$A$13</formula1>
    </dataValidation>
    <dataValidation sqref="E4 E11:E20 I11:I20" showDropDown="0" showInputMessage="0" showErrorMessage="1" allowBlank="1" errorTitle="Só números" error="Digite um valor em reais, sem letras. Ex.: 1500,00" type="decimal" operator="greaterThanOrEqual">
      <formula1>0</formula1>
    </dataValidation>
    <dataValidation sqref="G11:G20" showDropDown="0" showInputMessage="0" showErrorMessage="1" allowBlank="1" errorTitle="Taxa ao mês" error="Digite a taxa AO MÊS. Ex.: 6,42%" type="decimal" operator="between">
      <formula1>0</formula1>
      <formula2>100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CB2D"/>
    <outlinePr summaryBelow="1" summaryRight="1"/>
    <pageSetUpPr fitToPage="1"/>
  </sheetPr>
  <dimension ref="A1:AB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  <col width="12" customWidth="1" min="21" max="21"/>
    <col width="13" customWidth="1" min="22" max="22"/>
    <col width="14" customWidth="1" min="23" max="23"/>
    <col width="15" customWidth="1" min="24" max="24"/>
    <col width="15" customWidth="1" min="25" max="25"/>
    <col width="12" customWidth="1" min="26" max="26"/>
    <col width="24" customWidth="1" min="27" max="27"/>
    <col width="3" customWidth="1" min="28" max="28"/>
  </cols>
  <sheetData>
    <row r="1" ht="34" customHeight="1">
      <c r="A1" s="21" t="inlineStr">
        <is>
          <t>PLACAR MENSAL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22" t="inlineStr">
        <is>
          <t>Din: todo mês, anote o que pagou em cada chefão e a vida que ficou (está no app ou na fatura). A barra de vida total tem que cair.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26" t="inlineStr">
        <is>
          <t>VIDA NO INÍCIO</t>
        </is>
      </c>
      <c r="B3" s="27" t="n"/>
      <c r="C3" s="27" t="n"/>
      <c r="D3" s="26" t="inlineStr">
        <is>
          <t>VIDA HOJE</t>
        </is>
      </c>
      <c r="E3" s="27" t="n"/>
      <c r="F3" s="27" t="n"/>
      <c r="G3" s="26" t="inlineStr">
        <is>
          <t>VIDA DERROTADA</t>
        </is>
      </c>
      <c r="H3" s="27" t="n"/>
      <c r="I3" s="27" t="n"/>
      <c r="J3" s="26" t="inlineStr">
        <is>
          <t>TOTAL QUE VOCÊ PAGOU</t>
        </is>
      </c>
      <c r="K3" s="27" t="n"/>
      <c r="L3" s="27" t="n"/>
      <c r="M3" s="26" t="inlineStr">
        <is>
          <t>ATAQUE QUE VOCÊ TOMOU</t>
        </is>
      </c>
      <c r="N3" s="27" t="n"/>
      <c r="O3" s="27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4">
        <f>IF(ISNUMBER(X8),X8,"")</f>
        <v/>
      </c>
      <c r="B4" s="29" t="n"/>
      <c r="C4" s="29" t="n"/>
      <c r="D4" s="64">
        <f>IF(COUNT(X8:X32)=0,"",INDEX(X8:X32,COUNT(X8:X32)))</f>
        <v/>
      </c>
      <c r="E4" s="29" t="n"/>
      <c r="F4" s="29" t="n"/>
      <c r="G4" s="65">
        <f>IF(OR(A4="",D4="",A4=0),"",1-D4/A4)</f>
        <v/>
      </c>
      <c r="H4" s="29" t="n"/>
      <c r="I4" s="29" t="n"/>
      <c r="J4" s="64">
        <f>SUM(W9:W32)</f>
        <v/>
      </c>
      <c r="K4" s="29" t="n"/>
      <c r="L4" s="29" t="n"/>
      <c r="M4" s="66">
        <f>SUM(Y9:Y32)</f>
        <v/>
      </c>
      <c r="N4" s="29" t="n"/>
      <c r="O4" s="29" t="n"/>
      <c r="P4" s="67">
        <f>IF(G4="","",REPT("█",MAX(0,ROUND(G4*20,0)))&amp;REPT("░",20-MAX(0,MIN(20,ROUND(G4*20,0)))))</f>
        <v/>
      </c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30" customHeight="1">
      <c r="A6" s="26" t="inlineStr">
        <is>
          <t>Mês</t>
        </is>
      </c>
      <c r="B6" s="26" t="inlineStr">
        <is>
          <t>Data</t>
        </is>
      </c>
      <c r="C6" s="26">
        <f>IF('Meus chefões'!B11="","Chefão 1",'Meus chefões'!B11)</f>
        <v/>
      </c>
      <c r="D6" s="27" t="n"/>
      <c r="E6" s="26">
        <f>IF('Meus chefões'!B12="","Chefão 2",'Meus chefões'!B12)</f>
        <v/>
      </c>
      <c r="F6" s="27" t="n"/>
      <c r="G6" s="26">
        <f>IF('Meus chefões'!B13="","Chefão 3",'Meus chefões'!B13)</f>
        <v/>
      </c>
      <c r="H6" s="27" t="n"/>
      <c r="I6" s="26">
        <f>IF('Meus chefões'!B14="","Chefão 4",'Meus chefões'!B14)</f>
        <v/>
      </c>
      <c r="J6" s="27" t="n"/>
      <c r="K6" s="26">
        <f>IF('Meus chefões'!B15="","Chefão 5",'Meus chefões'!B15)</f>
        <v/>
      </c>
      <c r="L6" s="27" t="n"/>
      <c r="M6" s="26">
        <f>IF('Meus chefões'!B16="","Chefão 6",'Meus chefões'!B16)</f>
        <v/>
      </c>
      <c r="N6" s="27" t="n"/>
      <c r="O6" s="26">
        <f>IF('Meus chefões'!B17="","Chefão 7",'Meus chefões'!B17)</f>
        <v/>
      </c>
      <c r="P6" s="27" t="n"/>
      <c r="Q6" s="26">
        <f>IF('Meus chefões'!B18="","Chefão 8",'Meus chefões'!B18)</f>
        <v/>
      </c>
      <c r="R6" s="27" t="n"/>
      <c r="S6" s="26">
        <f>IF('Meus chefões'!B19="","Chefão 9",'Meus chefões'!B19)</f>
        <v/>
      </c>
      <c r="T6" s="27" t="n"/>
      <c r="U6" s="26">
        <f>IF('Meus chefões'!B20="","Chefão 10",'Meus chefões'!B20)</f>
        <v/>
      </c>
      <c r="V6" s="27" t="n"/>
      <c r="W6" s="26" t="inlineStr">
        <is>
          <t>Total pago</t>
        </is>
      </c>
      <c r="X6" s="26" t="inlineStr">
        <is>
          <t>VIDA TOTAL</t>
        </is>
      </c>
      <c r="Y6" s="26" t="inlineStr">
        <is>
          <t>Ataque que
você tomou</t>
        </is>
      </c>
      <c r="Z6" s="26" t="inlineStr">
        <is>
          <t>Vida
derrotada</t>
        </is>
      </c>
      <c r="AA6" s="26" t="inlineStr">
        <is>
          <t>Barra</t>
        </is>
      </c>
      <c r="AB6" s="1" t="n"/>
    </row>
    <row r="7">
      <c r="A7" s="27" t="n"/>
      <c r="B7" s="27" t="n"/>
      <c r="C7" s="68" t="inlineStr">
        <is>
          <t>Pagou</t>
        </is>
      </c>
      <c r="D7" s="68" t="inlineStr">
        <is>
          <t>Vida que ficou</t>
        </is>
      </c>
      <c r="E7" s="68" t="inlineStr">
        <is>
          <t>Pagou</t>
        </is>
      </c>
      <c r="F7" s="68" t="inlineStr">
        <is>
          <t>Vida que ficou</t>
        </is>
      </c>
      <c r="G7" s="68" t="inlineStr">
        <is>
          <t>Pagou</t>
        </is>
      </c>
      <c r="H7" s="68" t="inlineStr">
        <is>
          <t>Vida que ficou</t>
        </is>
      </c>
      <c r="I7" s="68" t="inlineStr">
        <is>
          <t>Pagou</t>
        </is>
      </c>
      <c r="J7" s="68" t="inlineStr">
        <is>
          <t>Vida que ficou</t>
        </is>
      </c>
      <c r="K7" s="68" t="inlineStr">
        <is>
          <t>Pagou</t>
        </is>
      </c>
      <c r="L7" s="68" t="inlineStr">
        <is>
          <t>Vida que ficou</t>
        </is>
      </c>
      <c r="M7" s="68" t="inlineStr">
        <is>
          <t>Pagou</t>
        </is>
      </c>
      <c r="N7" s="68" t="inlineStr">
        <is>
          <t>Vida que ficou</t>
        </is>
      </c>
      <c r="O7" s="68" t="inlineStr">
        <is>
          <t>Pagou</t>
        </is>
      </c>
      <c r="P7" s="68" t="inlineStr">
        <is>
          <t>Vida que ficou</t>
        </is>
      </c>
      <c r="Q7" s="68" t="inlineStr">
        <is>
          <t>Pagou</t>
        </is>
      </c>
      <c r="R7" s="68" t="inlineStr">
        <is>
          <t>Vida que ficou</t>
        </is>
      </c>
      <c r="S7" s="68" t="inlineStr">
        <is>
          <t>Pagou</t>
        </is>
      </c>
      <c r="T7" s="68" t="inlineStr">
        <is>
          <t>Vida que ficou</t>
        </is>
      </c>
      <c r="U7" s="68" t="inlineStr">
        <is>
          <t>Pagou</t>
        </is>
      </c>
      <c r="V7" s="68" t="inlineStr">
        <is>
          <t>Vida que ficou</t>
        </is>
      </c>
      <c r="W7" s="27" t="n"/>
      <c r="X7" s="27" t="n"/>
      <c r="Y7" s="27" t="n"/>
      <c r="Z7" s="27" t="n"/>
      <c r="AA7" s="27" t="n"/>
      <c r="AB7" s="1" t="n"/>
    </row>
    <row r="8">
      <c r="A8" s="35" t="inlineStr">
        <is>
          <t>Início</t>
        </is>
      </c>
      <c r="B8" s="69" t="inlineStr">
        <is>
          <t>EXEMPLO</t>
        </is>
      </c>
      <c r="C8" s="70" t="inlineStr">
        <is>
          <t>—</t>
        </is>
      </c>
      <c r="D8" s="71" t="n">
        <v>2000</v>
      </c>
      <c r="E8" s="70" t="inlineStr">
        <is>
          <t>—</t>
        </is>
      </c>
      <c r="F8" s="71" t="n">
        <v>800</v>
      </c>
      <c r="G8" s="70" t="inlineStr">
        <is>
          <t>—</t>
        </is>
      </c>
      <c r="H8" s="71" t="n">
        <v>3000</v>
      </c>
      <c r="I8" s="70" t="inlineStr">
        <is>
          <t>—</t>
        </is>
      </c>
      <c r="J8" s="71" t="n"/>
      <c r="K8" s="70" t="inlineStr">
        <is>
          <t>—</t>
        </is>
      </c>
      <c r="L8" s="71" t="n"/>
      <c r="M8" s="70" t="inlineStr">
        <is>
          <t>—</t>
        </is>
      </c>
      <c r="N8" s="71" t="n"/>
      <c r="O8" s="70" t="inlineStr">
        <is>
          <t>—</t>
        </is>
      </c>
      <c r="P8" s="71" t="n"/>
      <c r="Q8" s="70" t="inlineStr">
        <is>
          <t>—</t>
        </is>
      </c>
      <c r="R8" s="71" t="n"/>
      <c r="S8" s="70" t="inlineStr">
        <is>
          <t>—</t>
        </is>
      </c>
      <c r="T8" s="71" t="n"/>
      <c r="U8" s="70" t="inlineStr">
        <is>
          <t>—</t>
        </is>
      </c>
      <c r="V8" s="71" t="n"/>
      <c r="W8" s="70" t="inlineStr">
        <is>
          <t>—</t>
        </is>
      </c>
      <c r="X8" s="72">
        <f>IF(COUNT(D8,F8,H8,J8,L8,N8,P8,R8,T8,V8)=0,"",SUM(D8,F8,H8,J8,L8,N8,P8,R8,T8,V8))</f>
        <v/>
      </c>
      <c r="Y8" s="70" t="inlineStr">
        <is>
          <t>—</t>
        </is>
      </c>
      <c r="Z8" s="73">
        <f>IF(AND(ISNUMBER(X8),ISNUMBER(X$8),X$8&gt;0),1-X8/X$8,"")</f>
        <v/>
      </c>
      <c r="AA8" s="74">
        <f>IF(ISNUMBER(Z8),REPT("█",MAX(0,MIN(20,ROUND(Z8*20,0)))),"")</f>
        <v/>
      </c>
      <c r="AB8" s="1" t="n"/>
    </row>
    <row r="9">
      <c r="A9" s="35" t="inlineStr">
        <is>
          <t>Mês 1</t>
        </is>
      </c>
      <c r="B9" s="69" t="inlineStr">
        <is>
          <t>EXEMPLO</t>
        </is>
      </c>
      <c r="C9" s="38" t="n">
        <v>400</v>
      </c>
      <c r="D9" s="71" t="n">
        <v>1787.44</v>
      </c>
      <c r="E9" s="38" t="n">
        <v>50</v>
      </c>
      <c r="F9" s="71" t="n">
        <v>810.25</v>
      </c>
      <c r="G9" s="38" t="n">
        <v>150</v>
      </c>
      <c r="H9" s="71" t="n">
        <v>3042.48</v>
      </c>
      <c r="I9" s="38" t="n"/>
      <c r="J9" s="71" t="n"/>
      <c r="K9" s="38" t="n"/>
      <c r="L9" s="71" t="n"/>
      <c r="M9" s="38" t="n"/>
      <c r="N9" s="71" t="n"/>
      <c r="O9" s="38" t="n"/>
      <c r="P9" s="71" t="n"/>
      <c r="Q9" s="38" t="n"/>
      <c r="R9" s="71" t="n"/>
      <c r="S9" s="38" t="n"/>
      <c r="T9" s="71" t="n"/>
      <c r="U9" s="38" t="n"/>
      <c r="V9" s="71" t="n"/>
      <c r="W9" s="43">
        <f>IF(COUNT(C9,E9,G9,I9,K9,M9,O9,Q9,S9,U9)=0,"",SUM(C9,E9,G9,I9,K9,M9,O9,Q9,S9,U9))</f>
        <v/>
      </c>
      <c r="X9" s="72">
        <f>IF(COUNT(D9,F9,H9,J9,L9,N9,P9,R9,T9,V9)=0,"",SUM(D9,F9,H9,J9,L9,N9,P9,R9,T9,V9))</f>
        <v/>
      </c>
      <c r="Y9" s="42">
        <f>IF(AND(ISNUMBER(X9),ISNUMBER(X8)),X9-X8+N(W9),"")</f>
        <v/>
      </c>
      <c r="Z9" s="73">
        <f>IF(AND(ISNUMBER(X9),ISNUMBER(X$8),X$8&gt;0),1-X9/X$8,"")</f>
        <v/>
      </c>
      <c r="AA9" s="74">
        <f>IF(ISNUMBER(Z9),REPT("█",MAX(0,MIN(20,ROUND(Z9*20,0)))),"")</f>
        <v/>
      </c>
      <c r="AB9" s="1" t="n"/>
    </row>
    <row r="10">
      <c r="A10" s="35" t="inlineStr">
        <is>
          <t>Mês 2</t>
        </is>
      </c>
      <c r="B10" s="69" t="inlineStr">
        <is>
          <t>EXEMPLO</t>
        </is>
      </c>
      <c r="C10" s="38" t="n">
        <v>400</v>
      </c>
      <c r="D10" s="71" t="n">
        <v>1554.95</v>
      </c>
      <c r="E10" s="38" t="n">
        <v>50</v>
      </c>
      <c r="F10" s="71" t="n">
        <v>821.27</v>
      </c>
      <c r="G10" s="38" t="n">
        <v>150</v>
      </c>
      <c r="H10" s="71" t="n">
        <v>3087.68</v>
      </c>
      <c r="I10" s="38" t="n"/>
      <c r="J10" s="71" t="n"/>
      <c r="K10" s="38" t="n"/>
      <c r="L10" s="71" t="n"/>
      <c r="M10" s="38" t="n"/>
      <c r="N10" s="71" t="n"/>
      <c r="O10" s="38" t="n"/>
      <c r="P10" s="71" t="n"/>
      <c r="Q10" s="38" t="n"/>
      <c r="R10" s="71" t="n"/>
      <c r="S10" s="38" t="n"/>
      <c r="T10" s="71" t="n"/>
      <c r="U10" s="38" t="n"/>
      <c r="V10" s="71" t="n"/>
      <c r="W10" s="43">
        <f>IF(COUNT(C10,E10,G10,I10,K10,M10,O10,Q10,S10,U10)=0,"",SUM(C10,E10,G10,I10,K10,M10,O10,Q10,S10,U10))</f>
        <v/>
      </c>
      <c r="X10" s="72">
        <f>IF(COUNT(D10,F10,H10,J10,L10,N10,P10,R10,T10,V10)=0,"",SUM(D10,F10,H10,J10,L10,N10,P10,R10,T10,V10))</f>
        <v/>
      </c>
      <c r="Y10" s="42">
        <f>IF(AND(ISNUMBER(X10),ISNUMBER(X9)),X10-X9+N(W10),"")</f>
        <v/>
      </c>
      <c r="Z10" s="73">
        <f>IF(AND(ISNUMBER(X10),ISNUMBER(X$8),X$8&gt;0),1-X10/X$8,"")</f>
        <v/>
      </c>
      <c r="AA10" s="74">
        <f>IF(ISNUMBER(Z10),REPT("█",MAX(0,MIN(20,ROUND(Z10*20,0)))),"")</f>
        <v/>
      </c>
      <c r="AB10" s="1" t="n"/>
    </row>
    <row r="11">
      <c r="A11" s="35" t="inlineStr">
        <is>
          <t>Mês 3</t>
        </is>
      </c>
      <c r="B11" s="75" t="n"/>
      <c r="C11" s="38" t="n"/>
      <c r="D11" s="71" t="n"/>
      <c r="E11" s="38" t="n"/>
      <c r="F11" s="71" t="n"/>
      <c r="G11" s="38" t="n"/>
      <c r="H11" s="71" t="n"/>
      <c r="I11" s="38" t="n"/>
      <c r="J11" s="71" t="n"/>
      <c r="K11" s="38" t="n"/>
      <c r="L11" s="71" t="n"/>
      <c r="M11" s="38" t="n"/>
      <c r="N11" s="71" t="n"/>
      <c r="O11" s="38" t="n"/>
      <c r="P11" s="71" t="n"/>
      <c r="Q11" s="38" t="n"/>
      <c r="R11" s="71" t="n"/>
      <c r="S11" s="38" t="n"/>
      <c r="T11" s="71" t="n"/>
      <c r="U11" s="38" t="n"/>
      <c r="V11" s="71" t="n"/>
      <c r="W11" s="43">
        <f>IF(COUNT(C11,E11,G11,I11,K11,M11,O11,Q11,S11,U11)=0,"",SUM(C11,E11,G11,I11,K11,M11,O11,Q11,S11,U11))</f>
        <v/>
      </c>
      <c r="X11" s="72">
        <f>IF(COUNT(D11,F11,H11,J11,L11,N11,P11,R11,T11,V11)=0,"",SUM(D11,F11,H11,J11,L11,N11,P11,R11,T11,V11))</f>
        <v/>
      </c>
      <c r="Y11" s="42">
        <f>IF(AND(ISNUMBER(X11),ISNUMBER(X10)),X11-X10+N(W11),"")</f>
        <v/>
      </c>
      <c r="Z11" s="73">
        <f>IF(AND(ISNUMBER(X11),ISNUMBER(X$8),X$8&gt;0),1-X11/X$8,"")</f>
        <v/>
      </c>
      <c r="AA11" s="74">
        <f>IF(ISNUMBER(Z11),REPT("█",MAX(0,MIN(20,ROUND(Z11*20,0)))),"")</f>
        <v/>
      </c>
      <c r="AB11" s="1" t="n"/>
    </row>
    <row r="12">
      <c r="A12" s="35" t="inlineStr">
        <is>
          <t>Mês 4</t>
        </is>
      </c>
      <c r="B12" s="75" t="n"/>
      <c r="C12" s="38" t="n"/>
      <c r="D12" s="71" t="n"/>
      <c r="E12" s="38" t="n"/>
      <c r="F12" s="71" t="n"/>
      <c r="G12" s="38" t="n"/>
      <c r="H12" s="71" t="n"/>
      <c r="I12" s="38" t="n"/>
      <c r="J12" s="71" t="n"/>
      <c r="K12" s="38" t="n"/>
      <c r="L12" s="71" t="n"/>
      <c r="M12" s="38" t="n"/>
      <c r="N12" s="71" t="n"/>
      <c r="O12" s="38" t="n"/>
      <c r="P12" s="71" t="n"/>
      <c r="Q12" s="38" t="n"/>
      <c r="R12" s="71" t="n"/>
      <c r="S12" s="38" t="n"/>
      <c r="T12" s="71" t="n"/>
      <c r="U12" s="38" t="n"/>
      <c r="V12" s="71" t="n"/>
      <c r="W12" s="43">
        <f>IF(COUNT(C12,E12,G12,I12,K12,M12,O12,Q12,S12,U12)=0,"",SUM(C12,E12,G12,I12,K12,M12,O12,Q12,S12,U12))</f>
        <v/>
      </c>
      <c r="X12" s="72">
        <f>IF(COUNT(D12,F12,H12,J12,L12,N12,P12,R12,T12,V12)=0,"",SUM(D12,F12,H12,J12,L12,N12,P12,R12,T12,V12))</f>
        <v/>
      </c>
      <c r="Y12" s="42">
        <f>IF(AND(ISNUMBER(X12),ISNUMBER(X11)),X12-X11+N(W12),"")</f>
        <v/>
      </c>
      <c r="Z12" s="73">
        <f>IF(AND(ISNUMBER(X12),ISNUMBER(X$8),X$8&gt;0),1-X12/X$8,"")</f>
        <v/>
      </c>
      <c r="AA12" s="74">
        <f>IF(ISNUMBER(Z12),REPT("█",MAX(0,MIN(20,ROUND(Z12*20,0)))),"")</f>
        <v/>
      </c>
      <c r="AB12" s="1" t="n"/>
    </row>
    <row r="13">
      <c r="A13" s="35" t="inlineStr">
        <is>
          <t>Mês 5</t>
        </is>
      </c>
      <c r="B13" s="75" t="n"/>
      <c r="C13" s="38" t="n"/>
      <c r="D13" s="71" t="n"/>
      <c r="E13" s="38" t="n"/>
      <c r="F13" s="71" t="n"/>
      <c r="G13" s="38" t="n"/>
      <c r="H13" s="71" t="n"/>
      <c r="I13" s="38" t="n"/>
      <c r="J13" s="71" t="n"/>
      <c r="K13" s="38" t="n"/>
      <c r="L13" s="71" t="n"/>
      <c r="M13" s="38" t="n"/>
      <c r="N13" s="71" t="n"/>
      <c r="O13" s="38" t="n"/>
      <c r="P13" s="71" t="n"/>
      <c r="Q13" s="38" t="n"/>
      <c r="R13" s="71" t="n"/>
      <c r="S13" s="38" t="n"/>
      <c r="T13" s="71" t="n"/>
      <c r="U13" s="38" t="n"/>
      <c r="V13" s="71" t="n"/>
      <c r="W13" s="43">
        <f>IF(COUNT(C13,E13,G13,I13,K13,M13,O13,Q13,S13,U13)=0,"",SUM(C13,E13,G13,I13,K13,M13,O13,Q13,S13,U13))</f>
        <v/>
      </c>
      <c r="X13" s="72">
        <f>IF(COUNT(D13,F13,H13,J13,L13,N13,P13,R13,T13,V13)=0,"",SUM(D13,F13,H13,J13,L13,N13,P13,R13,T13,V13))</f>
        <v/>
      </c>
      <c r="Y13" s="42">
        <f>IF(AND(ISNUMBER(X13),ISNUMBER(X12)),X13-X12+N(W13),"")</f>
        <v/>
      </c>
      <c r="Z13" s="73">
        <f>IF(AND(ISNUMBER(X13),ISNUMBER(X$8),X$8&gt;0),1-X13/X$8,"")</f>
        <v/>
      </c>
      <c r="AA13" s="74">
        <f>IF(ISNUMBER(Z13),REPT("█",MAX(0,MIN(20,ROUND(Z13*20,0)))),"")</f>
        <v/>
      </c>
      <c r="AB13" s="1" t="n"/>
    </row>
    <row r="14">
      <c r="A14" s="35" t="inlineStr">
        <is>
          <t>Mês 6</t>
        </is>
      </c>
      <c r="B14" s="75" t="n"/>
      <c r="C14" s="38" t="n"/>
      <c r="D14" s="71" t="n"/>
      <c r="E14" s="38" t="n"/>
      <c r="F14" s="71" t="n"/>
      <c r="G14" s="38" t="n"/>
      <c r="H14" s="71" t="n"/>
      <c r="I14" s="38" t="n"/>
      <c r="J14" s="71" t="n"/>
      <c r="K14" s="38" t="n"/>
      <c r="L14" s="71" t="n"/>
      <c r="M14" s="38" t="n"/>
      <c r="N14" s="71" t="n"/>
      <c r="O14" s="38" t="n"/>
      <c r="P14" s="71" t="n"/>
      <c r="Q14" s="38" t="n"/>
      <c r="R14" s="71" t="n"/>
      <c r="S14" s="38" t="n"/>
      <c r="T14" s="71" t="n"/>
      <c r="U14" s="38" t="n"/>
      <c r="V14" s="71" t="n"/>
      <c r="W14" s="43">
        <f>IF(COUNT(C14,E14,G14,I14,K14,M14,O14,Q14,S14,U14)=0,"",SUM(C14,E14,G14,I14,K14,M14,O14,Q14,S14,U14))</f>
        <v/>
      </c>
      <c r="X14" s="72">
        <f>IF(COUNT(D14,F14,H14,J14,L14,N14,P14,R14,T14,V14)=0,"",SUM(D14,F14,H14,J14,L14,N14,P14,R14,T14,V14))</f>
        <v/>
      </c>
      <c r="Y14" s="42">
        <f>IF(AND(ISNUMBER(X14),ISNUMBER(X13)),X14-X13+N(W14),"")</f>
        <v/>
      </c>
      <c r="Z14" s="73">
        <f>IF(AND(ISNUMBER(X14),ISNUMBER(X$8),X$8&gt;0),1-X14/X$8,"")</f>
        <v/>
      </c>
      <c r="AA14" s="74">
        <f>IF(ISNUMBER(Z14),REPT("█",MAX(0,MIN(20,ROUND(Z14*20,0)))),"")</f>
        <v/>
      </c>
      <c r="AB14" s="1" t="n"/>
    </row>
    <row r="15">
      <c r="A15" s="35" t="inlineStr">
        <is>
          <t>Mês 7</t>
        </is>
      </c>
      <c r="B15" s="75" t="n"/>
      <c r="C15" s="38" t="n"/>
      <c r="D15" s="71" t="n"/>
      <c r="E15" s="38" t="n"/>
      <c r="F15" s="71" t="n"/>
      <c r="G15" s="38" t="n"/>
      <c r="H15" s="71" t="n"/>
      <c r="I15" s="38" t="n"/>
      <c r="J15" s="71" t="n"/>
      <c r="K15" s="38" t="n"/>
      <c r="L15" s="71" t="n"/>
      <c r="M15" s="38" t="n"/>
      <c r="N15" s="71" t="n"/>
      <c r="O15" s="38" t="n"/>
      <c r="P15" s="71" t="n"/>
      <c r="Q15" s="38" t="n"/>
      <c r="R15" s="71" t="n"/>
      <c r="S15" s="38" t="n"/>
      <c r="T15" s="71" t="n"/>
      <c r="U15" s="38" t="n"/>
      <c r="V15" s="71" t="n"/>
      <c r="W15" s="43">
        <f>IF(COUNT(C15,E15,G15,I15,K15,M15,O15,Q15,S15,U15)=0,"",SUM(C15,E15,G15,I15,K15,M15,O15,Q15,S15,U15))</f>
        <v/>
      </c>
      <c r="X15" s="72">
        <f>IF(COUNT(D15,F15,H15,J15,L15,N15,P15,R15,T15,V15)=0,"",SUM(D15,F15,H15,J15,L15,N15,P15,R15,T15,V15))</f>
        <v/>
      </c>
      <c r="Y15" s="42">
        <f>IF(AND(ISNUMBER(X15),ISNUMBER(X14)),X15-X14+N(W15),"")</f>
        <v/>
      </c>
      <c r="Z15" s="73">
        <f>IF(AND(ISNUMBER(X15),ISNUMBER(X$8),X$8&gt;0),1-X15/X$8,"")</f>
        <v/>
      </c>
      <c r="AA15" s="74">
        <f>IF(ISNUMBER(Z15),REPT("█",MAX(0,MIN(20,ROUND(Z15*20,0)))),"")</f>
        <v/>
      </c>
      <c r="AB15" s="1" t="n"/>
    </row>
    <row r="16">
      <c r="A16" s="35" t="inlineStr">
        <is>
          <t>Mês 8</t>
        </is>
      </c>
      <c r="B16" s="75" t="n"/>
      <c r="C16" s="38" t="n"/>
      <c r="D16" s="71" t="n"/>
      <c r="E16" s="38" t="n"/>
      <c r="F16" s="71" t="n"/>
      <c r="G16" s="38" t="n"/>
      <c r="H16" s="71" t="n"/>
      <c r="I16" s="38" t="n"/>
      <c r="J16" s="71" t="n"/>
      <c r="K16" s="38" t="n"/>
      <c r="L16" s="71" t="n"/>
      <c r="M16" s="38" t="n"/>
      <c r="N16" s="71" t="n"/>
      <c r="O16" s="38" t="n"/>
      <c r="P16" s="71" t="n"/>
      <c r="Q16" s="38" t="n"/>
      <c r="R16" s="71" t="n"/>
      <c r="S16" s="38" t="n"/>
      <c r="T16" s="71" t="n"/>
      <c r="U16" s="38" t="n"/>
      <c r="V16" s="71" t="n"/>
      <c r="W16" s="43">
        <f>IF(COUNT(C16,E16,G16,I16,K16,M16,O16,Q16,S16,U16)=0,"",SUM(C16,E16,G16,I16,K16,M16,O16,Q16,S16,U16))</f>
        <v/>
      </c>
      <c r="X16" s="72">
        <f>IF(COUNT(D16,F16,H16,J16,L16,N16,P16,R16,T16,V16)=0,"",SUM(D16,F16,H16,J16,L16,N16,P16,R16,T16,V16))</f>
        <v/>
      </c>
      <c r="Y16" s="42">
        <f>IF(AND(ISNUMBER(X16),ISNUMBER(X15)),X16-X15+N(W16),"")</f>
        <v/>
      </c>
      <c r="Z16" s="73">
        <f>IF(AND(ISNUMBER(X16),ISNUMBER(X$8),X$8&gt;0),1-X16/X$8,"")</f>
        <v/>
      </c>
      <c r="AA16" s="74">
        <f>IF(ISNUMBER(Z16),REPT("█",MAX(0,MIN(20,ROUND(Z16*20,0)))),"")</f>
        <v/>
      </c>
      <c r="AB16" s="1" t="n"/>
    </row>
    <row r="17">
      <c r="A17" s="35" t="inlineStr">
        <is>
          <t>Mês 9</t>
        </is>
      </c>
      <c r="B17" s="75" t="n"/>
      <c r="C17" s="38" t="n"/>
      <c r="D17" s="71" t="n"/>
      <c r="E17" s="38" t="n"/>
      <c r="F17" s="71" t="n"/>
      <c r="G17" s="38" t="n"/>
      <c r="H17" s="71" t="n"/>
      <c r="I17" s="38" t="n"/>
      <c r="J17" s="71" t="n"/>
      <c r="K17" s="38" t="n"/>
      <c r="L17" s="71" t="n"/>
      <c r="M17" s="38" t="n"/>
      <c r="N17" s="71" t="n"/>
      <c r="O17" s="38" t="n"/>
      <c r="P17" s="71" t="n"/>
      <c r="Q17" s="38" t="n"/>
      <c r="R17" s="71" t="n"/>
      <c r="S17" s="38" t="n"/>
      <c r="T17" s="71" t="n"/>
      <c r="U17" s="38" t="n"/>
      <c r="V17" s="71" t="n"/>
      <c r="W17" s="43">
        <f>IF(COUNT(C17,E17,G17,I17,K17,M17,O17,Q17,S17,U17)=0,"",SUM(C17,E17,G17,I17,K17,M17,O17,Q17,S17,U17))</f>
        <v/>
      </c>
      <c r="X17" s="72">
        <f>IF(COUNT(D17,F17,H17,J17,L17,N17,P17,R17,T17,V17)=0,"",SUM(D17,F17,H17,J17,L17,N17,P17,R17,T17,V17))</f>
        <v/>
      </c>
      <c r="Y17" s="42">
        <f>IF(AND(ISNUMBER(X17),ISNUMBER(X16)),X17-X16+N(W17),"")</f>
        <v/>
      </c>
      <c r="Z17" s="73">
        <f>IF(AND(ISNUMBER(X17),ISNUMBER(X$8),X$8&gt;0),1-X17/X$8,"")</f>
        <v/>
      </c>
      <c r="AA17" s="74">
        <f>IF(ISNUMBER(Z17),REPT("█",MAX(0,MIN(20,ROUND(Z17*20,0)))),"")</f>
        <v/>
      </c>
      <c r="AB17" s="1" t="n"/>
    </row>
    <row r="18">
      <c r="A18" s="35" t="inlineStr">
        <is>
          <t>Mês 10</t>
        </is>
      </c>
      <c r="B18" s="75" t="n"/>
      <c r="C18" s="38" t="n"/>
      <c r="D18" s="71" t="n"/>
      <c r="E18" s="38" t="n"/>
      <c r="F18" s="71" t="n"/>
      <c r="G18" s="38" t="n"/>
      <c r="H18" s="71" t="n"/>
      <c r="I18" s="38" t="n"/>
      <c r="J18" s="71" t="n"/>
      <c r="K18" s="38" t="n"/>
      <c r="L18" s="71" t="n"/>
      <c r="M18" s="38" t="n"/>
      <c r="N18" s="71" t="n"/>
      <c r="O18" s="38" t="n"/>
      <c r="P18" s="71" t="n"/>
      <c r="Q18" s="38" t="n"/>
      <c r="R18" s="71" t="n"/>
      <c r="S18" s="38" t="n"/>
      <c r="T18" s="71" t="n"/>
      <c r="U18" s="38" t="n"/>
      <c r="V18" s="71" t="n"/>
      <c r="W18" s="43">
        <f>IF(COUNT(C18,E18,G18,I18,K18,M18,O18,Q18,S18,U18)=0,"",SUM(C18,E18,G18,I18,K18,M18,O18,Q18,S18,U18))</f>
        <v/>
      </c>
      <c r="X18" s="72">
        <f>IF(COUNT(D18,F18,H18,J18,L18,N18,P18,R18,T18,V18)=0,"",SUM(D18,F18,H18,J18,L18,N18,P18,R18,T18,V18))</f>
        <v/>
      </c>
      <c r="Y18" s="42">
        <f>IF(AND(ISNUMBER(X18),ISNUMBER(X17)),X18-X17+N(W18),"")</f>
        <v/>
      </c>
      <c r="Z18" s="73">
        <f>IF(AND(ISNUMBER(X18),ISNUMBER(X$8),X$8&gt;0),1-X18/X$8,"")</f>
        <v/>
      </c>
      <c r="AA18" s="74">
        <f>IF(ISNUMBER(Z18),REPT("█",MAX(0,MIN(20,ROUND(Z18*20,0)))),"")</f>
        <v/>
      </c>
      <c r="AB18" s="1" t="n"/>
    </row>
    <row r="19">
      <c r="A19" s="35" t="inlineStr">
        <is>
          <t>Mês 11</t>
        </is>
      </c>
      <c r="B19" s="75" t="n"/>
      <c r="C19" s="38" t="n"/>
      <c r="D19" s="71" t="n"/>
      <c r="E19" s="38" t="n"/>
      <c r="F19" s="71" t="n"/>
      <c r="G19" s="38" t="n"/>
      <c r="H19" s="71" t="n"/>
      <c r="I19" s="38" t="n"/>
      <c r="J19" s="71" t="n"/>
      <c r="K19" s="38" t="n"/>
      <c r="L19" s="71" t="n"/>
      <c r="M19" s="38" t="n"/>
      <c r="N19" s="71" t="n"/>
      <c r="O19" s="38" t="n"/>
      <c r="P19" s="71" t="n"/>
      <c r="Q19" s="38" t="n"/>
      <c r="R19" s="71" t="n"/>
      <c r="S19" s="38" t="n"/>
      <c r="T19" s="71" t="n"/>
      <c r="U19" s="38" t="n"/>
      <c r="V19" s="71" t="n"/>
      <c r="W19" s="43">
        <f>IF(COUNT(C19,E19,G19,I19,K19,M19,O19,Q19,S19,U19)=0,"",SUM(C19,E19,G19,I19,K19,M19,O19,Q19,S19,U19))</f>
        <v/>
      </c>
      <c r="X19" s="72">
        <f>IF(COUNT(D19,F19,H19,J19,L19,N19,P19,R19,T19,V19)=0,"",SUM(D19,F19,H19,J19,L19,N19,P19,R19,T19,V19))</f>
        <v/>
      </c>
      <c r="Y19" s="42">
        <f>IF(AND(ISNUMBER(X19),ISNUMBER(X18)),X19-X18+N(W19),"")</f>
        <v/>
      </c>
      <c r="Z19" s="73">
        <f>IF(AND(ISNUMBER(X19),ISNUMBER(X$8),X$8&gt;0),1-X19/X$8,"")</f>
        <v/>
      </c>
      <c r="AA19" s="74">
        <f>IF(ISNUMBER(Z19),REPT("█",MAX(0,MIN(20,ROUND(Z19*20,0)))),"")</f>
        <v/>
      </c>
      <c r="AB19" s="1" t="n"/>
    </row>
    <row r="20">
      <c r="A20" s="35" t="inlineStr">
        <is>
          <t>Mês 12</t>
        </is>
      </c>
      <c r="B20" s="75" t="n"/>
      <c r="C20" s="38" t="n"/>
      <c r="D20" s="71" t="n"/>
      <c r="E20" s="38" t="n"/>
      <c r="F20" s="71" t="n"/>
      <c r="G20" s="38" t="n"/>
      <c r="H20" s="71" t="n"/>
      <c r="I20" s="38" t="n"/>
      <c r="J20" s="71" t="n"/>
      <c r="K20" s="38" t="n"/>
      <c r="L20" s="71" t="n"/>
      <c r="M20" s="38" t="n"/>
      <c r="N20" s="71" t="n"/>
      <c r="O20" s="38" t="n"/>
      <c r="P20" s="71" t="n"/>
      <c r="Q20" s="38" t="n"/>
      <c r="R20" s="71" t="n"/>
      <c r="S20" s="38" t="n"/>
      <c r="T20" s="71" t="n"/>
      <c r="U20" s="38" t="n"/>
      <c r="V20" s="71" t="n"/>
      <c r="W20" s="43">
        <f>IF(COUNT(C20,E20,G20,I20,K20,M20,O20,Q20,S20,U20)=0,"",SUM(C20,E20,G20,I20,K20,M20,O20,Q20,S20,U20))</f>
        <v/>
      </c>
      <c r="X20" s="72">
        <f>IF(COUNT(D20,F20,H20,J20,L20,N20,P20,R20,T20,V20)=0,"",SUM(D20,F20,H20,J20,L20,N20,P20,R20,T20,V20))</f>
        <v/>
      </c>
      <c r="Y20" s="42">
        <f>IF(AND(ISNUMBER(X20),ISNUMBER(X19)),X20-X19+N(W20),"")</f>
        <v/>
      </c>
      <c r="Z20" s="73">
        <f>IF(AND(ISNUMBER(X20),ISNUMBER(X$8),X$8&gt;0),1-X20/X$8,"")</f>
        <v/>
      </c>
      <c r="AA20" s="74">
        <f>IF(ISNUMBER(Z20),REPT("█",MAX(0,MIN(20,ROUND(Z20*20,0)))),"")</f>
        <v/>
      </c>
      <c r="AB20" s="1" t="n"/>
    </row>
    <row r="21">
      <c r="A21" s="35" t="inlineStr">
        <is>
          <t>Mês 13</t>
        </is>
      </c>
      <c r="B21" s="75" t="n"/>
      <c r="C21" s="38" t="n"/>
      <c r="D21" s="71" t="n"/>
      <c r="E21" s="38" t="n"/>
      <c r="F21" s="71" t="n"/>
      <c r="G21" s="38" t="n"/>
      <c r="H21" s="71" t="n"/>
      <c r="I21" s="38" t="n"/>
      <c r="J21" s="71" t="n"/>
      <c r="K21" s="38" t="n"/>
      <c r="L21" s="71" t="n"/>
      <c r="M21" s="38" t="n"/>
      <c r="N21" s="71" t="n"/>
      <c r="O21" s="38" t="n"/>
      <c r="P21" s="71" t="n"/>
      <c r="Q21" s="38" t="n"/>
      <c r="R21" s="71" t="n"/>
      <c r="S21" s="38" t="n"/>
      <c r="T21" s="71" t="n"/>
      <c r="U21" s="38" t="n"/>
      <c r="V21" s="71" t="n"/>
      <c r="W21" s="43">
        <f>IF(COUNT(C21,E21,G21,I21,K21,M21,O21,Q21,S21,U21)=0,"",SUM(C21,E21,G21,I21,K21,M21,O21,Q21,S21,U21))</f>
        <v/>
      </c>
      <c r="X21" s="72">
        <f>IF(COUNT(D21,F21,H21,J21,L21,N21,P21,R21,T21,V21)=0,"",SUM(D21,F21,H21,J21,L21,N21,P21,R21,T21,V21))</f>
        <v/>
      </c>
      <c r="Y21" s="42">
        <f>IF(AND(ISNUMBER(X21),ISNUMBER(X20)),X21-X20+N(W21),"")</f>
        <v/>
      </c>
      <c r="Z21" s="73">
        <f>IF(AND(ISNUMBER(X21),ISNUMBER(X$8),X$8&gt;0),1-X21/X$8,"")</f>
        <v/>
      </c>
      <c r="AA21" s="74">
        <f>IF(ISNUMBER(Z21),REPT("█",MAX(0,MIN(20,ROUND(Z21*20,0)))),"")</f>
        <v/>
      </c>
      <c r="AB21" s="1" t="n"/>
    </row>
    <row r="22">
      <c r="A22" s="35" t="inlineStr">
        <is>
          <t>Mês 14</t>
        </is>
      </c>
      <c r="B22" s="75" t="n"/>
      <c r="C22" s="38" t="n"/>
      <c r="D22" s="71" t="n"/>
      <c r="E22" s="38" t="n"/>
      <c r="F22" s="71" t="n"/>
      <c r="G22" s="38" t="n"/>
      <c r="H22" s="71" t="n"/>
      <c r="I22" s="38" t="n"/>
      <c r="J22" s="71" t="n"/>
      <c r="K22" s="38" t="n"/>
      <c r="L22" s="71" t="n"/>
      <c r="M22" s="38" t="n"/>
      <c r="N22" s="71" t="n"/>
      <c r="O22" s="38" t="n"/>
      <c r="P22" s="71" t="n"/>
      <c r="Q22" s="38" t="n"/>
      <c r="R22" s="71" t="n"/>
      <c r="S22" s="38" t="n"/>
      <c r="T22" s="71" t="n"/>
      <c r="U22" s="38" t="n"/>
      <c r="V22" s="71" t="n"/>
      <c r="W22" s="43">
        <f>IF(COUNT(C22,E22,G22,I22,K22,M22,O22,Q22,S22,U22)=0,"",SUM(C22,E22,G22,I22,K22,M22,O22,Q22,S22,U22))</f>
        <v/>
      </c>
      <c r="X22" s="72">
        <f>IF(COUNT(D22,F22,H22,J22,L22,N22,P22,R22,T22,V22)=0,"",SUM(D22,F22,H22,J22,L22,N22,P22,R22,T22,V22))</f>
        <v/>
      </c>
      <c r="Y22" s="42">
        <f>IF(AND(ISNUMBER(X22),ISNUMBER(X21)),X22-X21+N(W22),"")</f>
        <v/>
      </c>
      <c r="Z22" s="73">
        <f>IF(AND(ISNUMBER(X22),ISNUMBER(X$8),X$8&gt;0),1-X22/X$8,"")</f>
        <v/>
      </c>
      <c r="AA22" s="74">
        <f>IF(ISNUMBER(Z22),REPT("█",MAX(0,MIN(20,ROUND(Z22*20,0)))),"")</f>
        <v/>
      </c>
      <c r="AB22" s="1" t="n"/>
    </row>
    <row r="23">
      <c r="A23" s="35" t="inlineStr">
        <is>
          <t>Mês 15</t>
        </is>
      </c>
      <c r="B23" s="75" t="n"/>
      <c r="C23" s="38" t="n"/>
      <c r="D23" s="71" t="n"/>
      <c r="E23" s="38" t="n"/>
      <c r="F23" s="71" t="n"/>
      <c r="G23" s="38" t="n"/>
      <c r="H23" s="71" t="n"/>
      <c r="I23" s="38" t="n"/>
      <c r="J23" s="71" t="n"/>
      <c r="K23" s="38" t="n"/>
      <c r="L23" s="71" t="n"/>
      <c r="M23" s="38" t="n"/>
      <c r="N23" s="71" t="n"/>
      <c r="O23" s="38" t="n"/>
      <c r="P23" s="71" t="n"/>
      <c r="Q23" s="38" t="n"/>
      <c r="R23" s="71" t="n"/>
      <c r="S23" s="38" t="n"/>
      <c r="T23" s="71" t="n"/>
      <c r="U23" s="38" t="n"/>
      <c r="V23" s="71" t="n"/>
      <c r="W23" s="43">
        <f>IF(COUNT(C23,E23,G23,I23,K23,M23,O23,Q23,S23,U23)=0,"",SUM(C23,E23,G23,I23,K23,M23,O23,Q23,S23,U23))</f>
        <v/>
      </c>
      <c r="X23" s="72">
        <f>IF(COUNT(D23,F23,H23,J23,L23,N23,P23,R23,T23,V23)=0,"",SUM(D23,F23,H23,J23,L23,N23,P23,R23,T23,V23))</f>
        <v/>
      </c>
      <c r="Y23" s="42">
        <f>IF(AND(ISNUMBER(X23),ISNUMBER(X22)),X23-X22+N(W23),"")</f>
        <v/>
      </c>
      <c r="Z23" s="73">
        <f>IF(AND(ISNUMBER(X23),ISNUMBER(X$8),X$8&gt;0),1-X23/X$8,"")</f>
        <v/>
      </c>
      <c r="AA23" s="74">
        <f>IF(ISNUMBER(Z23),REPT("█",MAX(0,MIN(20,ROUND(Z23*20,0)))),"")</f>
        <v/>
      </c>
      <c r="AB23" s="1" t="n"/>
    </row>
    <row r="24">
      <c r="A24" s="35" t="inlineStr">
        <is>
          <t>Mês 16</t>
        </is>
      </c>
      <c r="B24" s="75" t="n"/>
      <c r="C24" s="38" t="n"/>
      <c r="D24" s="71" t="n"/>
      <c r="E24" s="38" t="n"/>
      <c r="F24" s="71" t="n"/>
      <c r="G24" s="38" t="n"/>
      <c r="H24" s="71" t="n"/>
      <c r="I24" s="38" t="n"/>
      <c r="J24" s="71" t="n"/>
      <c r="K24" s="38" t="n"/>
      <c r="L24" s="71" t="n"/>
      <c r="M24" s="38" t="n"/>
      <c r="N24" s="71" t="n"/>
      <c r="O24" s="38" t="n"/>
      <c r="P24" s="71" t="n"/>
      <c r="Q24" s="38" t="n"/>
      <c r="R24" s="71" t="n"/>
      <c r="S24" s="38" t="n"/>
      <c r="T24" s="71" t="n"/>
      <c r="U24" s="38" t="n"/>
      <c r="V24" s="71" t="n"/>
      <c r="W24" s="43">
        <f>IF(COUNT(C24,E24,G24,I24,K24,M24,O24,Q24,S24,U24)=0,"",SUM(C24,E24,G24,I24,K24,M24,O24,Q24,S24,U24))</f>
        <v/>
      </c>
      <c r="X24" s="72">
        <f>IF(COUNT(D24,F24,H24,J24,L24,N24,P24,R24,T24,V24)=0,"",SUM(D24,F24,H24,J24,L24,N24,P24,R24,T24,V24))</f>
        <v/>
      </c>
      <c r="Y24" s="42">
        <f>IF(AND(ISNUMBER(X24),ISNUMBER(X23)),X24-X23+N(W24),"")</f>
        <v/>
      </c>
      <c r="Z24" s="73">
        <f>IF(AND(ISNUMBER(X24),ISNUMBER(X$8),X$8&gt;0),1-X24/X$8,"")</f>
        <v/>
      </c>
      <c r="AA24" s="74">
        <f>IF(ISNUMBER(Z24),REPT("█",MAX(0,MIN(20,ROUND(Z24*20,0)))),"")</f>
        <v/>
      </c>
      <c r="AB24" s="1" t="n"/>
    </row>
    <row r="25">
      <c r="A25" s="35" t="inlineStr">
        <is>
          <t>Mês 17</t>
        </is>
      </c>
      <c r="B25" s="75" t="n"/>
      <c r="C25" s="38" t="n"/>
      <c r="D25" s="71" t="n"/>
      <c r="E25" s="38" t="n"/>
      <c r="F25" s="71" t="n"/>
      <c r="G25" s="38" t="n"/>
      <c r="H25" s="71" t="n"/>
      <c r="I25" s="38" t="n"/>
      <c r="J25" s="71" t="n"/>
      <c r="K25" s="38" t="n"/>
      <c r="L25" s="71" t="n"/>
      <c r="M25" s="38" t="n"/>
      <c r="N25" s="71" t="n"/>
      <c r="O25" s="38" t="n"/>
      <c r="P25" s="71" t="n"/>
      <c r="Q25" s="38" t="n"/>
      <c r="R25" s="71" t="n"/>
      <c r="S25" s="38" t="n"/>
      <c r="T25" s="71" t="n"/>
      <c r="U25" s="38" t="n"/>
      <c r="V25" s="71" t="n"/>
      <c r="W25" s="43">
        <f>IF(COUNT(C25,E25,G25,I25,K25,M25,O25,Q25,S25,U25)=0,"",SUM(C25,E25,G25,I25,K25,M25,O25,Q25,S25,U25))</f>
        <v/>
      </c>
      <c r="X25" s="72">
        <f>IF(COUNT(D25,F25,H25,J25,L25,N25,P25,R25,T25,V25)=0,"",SUM(D25,F25,H25,J25,L25,N25,P25,R25,T25,V25))</f>
        <v/>
      </c>
      <c r="Y25" s="42">
        <f>IF(AND(ISNUMBER(X25),ISNUMBER(X24)),X25-X24+N(W25),"")</f>
        <v/>
      </c>
      <c r="Z25" s="73">
        <f>IF(AND(ISNUMBER(X25),ISNUMBER(X$8),X$8&gt;0),1-X25/X$8,"")</f>
        <v/>
      </c>
      <c r="AA25" s="74">
        <f>IF(ISNUMBER(Z25),REPT("█",MAX(0,MIN(20,ROUND(Z25*20,0)))),"")</f>
        <v/>
      </c>
      <c r="AB25" s="1" t="n"/>
    </row>
    <row r="26">
      <c r="A26" s="35" t="inlineStr">
        <is>
          <t>Mês 18</t>
        </is>
      </c>
      <c r="B26" s="75" t="n"/>
      <c r="C26" s="38" t="n"/>
      <c r="D26" s="71" t="n"/>
      <c r="E26" s="38" t="n"/>
      <c r="F26" s="71" t="n"/>
      <c r="G26" s="38" t="n"/>
      <c r="H26" s="71" t="n"/>
      <c r="I26" s="38" t="n"/>
      <c r="J26" s="71" t="n"/>
      <c r="K26" s="38" t="n"/>
      <c r="L26" s="71" t="n"/>
      <c r="M26" s="38" t="n"/>
      <c r="N26" s="71" t="n"/>
      <c r="O26" s="38" t="n"/>
      <c r="P26" s="71" t="n"/>
      <c r="Q26" s="38" t="n"/>
      <c r="R26" s="71" t="n"/>
      <c r="S26" s="38" t="n"/>
      <c r="T26" s="71" t="n"/>
      <c r="U26" s="38" t="n"/>
      <c r="V26" s="71" t="n"/>
      <c r="W26" s="43">
        <f>IF(COUNT(C26,E26,G26,I26,K26,M26,O26,Q26,S26,U26)=0,"",SUM(C26,E26,G26,I26,K26,M26,O26,Q26,S26,U26))</f>
        <v/>
      </c>
      <c r="X26" s="72">
        <f>IF(COUNT(D26,F26,H26,J26,L26,N26,P26,R26,T26,V26)=0,"",SUM(D26,F26,H26,J26,L26,N26,P26,R26,T26,V26))</f>
        <v/>
      </c>
      <c r="Y26" s="42">
        <f>IF(AND(ISNUMBER(X26),ISNUMBER(X25)),X26-X25+N(W26),"")</f>
        <v/>
      </c>
      <c r="Z26" s="73">
        <f>IF(AND(ISNUMBER(X26),ISNUMBER(X$8),X$8&gt;0),1-X26/X$8,"")</f>
        <v/>
      </c>
      <c r="AA26" s="74">
        <f>IF(ISNUMBER(Z26),REPT("█",MAX(0,MIN(20,ROUND(Z26*20,0)))),"")</f>
        <v/>
      </c>
      <c r="AB26" s="1" t="n"/>
    </row>
    <row r="27">
      <c r="A27" s="35" t="inlineStr">
        <is>
          <t>Mês 19</t>
        </is>
      </c>
      <c r="B27" s="75" t="n"/>
      <c r="C27" s="38" t="n"/>
      <c r="D27" s="71" t="n"/>
      <c r="E27" s="38" t="n"/>
      <c r="F27" s="71" t="n"/>
      <c r="G27" s="38" t="n"/>
      <c r="H27" s="71" t="n"/>
      <c r="I27" s="38" t="n"/>
      <c r="J27" s="71" t="n"/>
      <c r="K27" s="38" t="n"/>
      <c r="L27" s="71" t="n"/>
      <c r="M27" s="38" t="n"/>
      <c r="N27" s="71" t="n"/>
      <c r="O27" s="38" t="n"/>
      <c r="P27" s="71" t="n"/>
      <c r="Q27" s="38" t="n"/>
      <c r="R27" s="71" t="n"/>
      <c r="S27" s="38" t="n"/>
      <c r="T27" s="71" t="n"/>
      <c r="U27" s="38" t="n"/>
      <c r="V27" s="71" t="n"/>
      <c r="W27" s="43">
        <f>IF(COUNT(C27,E27,G27,I27,K27,M27,O27,Q27,S27,U27)=0,"",SUM(C27,E27,G27,I27,K27,M27,O27,Q27,S27,U27))</f>
        <v/>
      </c>
      <c r="X27" s="72">
        <f>IF(COUNT(D27,F27,H27,J27,L27,N27,P27,R27,T27,V27)=0,"",SUM(D27,F27,H27,J27,L27,N27,P27,R27,T27,V27))</f>
        <v/>
      </c>
      <c r="Y27" s="42">
        <f>IF(AND(ISNUMBER(X27),ISNUMBER(X26)),X27-X26+N(W27),"")</f>
        <v/>
      </c>
      <c r="Z27" s="73">
        <f>IF(AND(ISNUMBER(X27),ISNUMBER(X$8),X$8&gt;0),1-X27/X$8,"")</f>
        <v/>
      </c>
      <c r="AA27" s="74">
        <f>IF(ISNUMBER(Z27),REPT("█",MAX(0,MIN(20,ROUND(Z27*20,0)))),"")</f>
        <v/>
      </c>
      <c r="AB27" s="1" t="n"/>
    </row>
    <row r="28">
      <c r="A28" s="35" t="inlineStr">
        <is>
          <t>Mês 20</t>
        </is>
      </c>
      <c r="B28" s="75" t="n"/>
      <c r="C28" s="38" t="n"/>
      <c r="D28" s="71" t="n"/>
      <c r="E28" s="38" t="n"/>
      <c r="F28" s="71" t="n"/>
      <c r="G28" s="38" t="n"/>
      <c r="H28" s="71" t="n"/>
      <c r="I28" s="38" t="n"/>
      <c r="J28" s="71" t="n"/>
      <c r="K28" s="38" t="n"/>
      <c r="L28" s="71" t="n"/>
      <c r="M28" s="38" t="n"/>
      <c r="N28" s="71" t="n"/>
      <c r="O28" s="38" t="n"/>
      <c r="P28" s="71" t="n"/>
      <c r="Q28" s="38" t="n"/>
      <c r="R28" s="71" t="n"/>
      <c r="S28" s="38" t="n"/>
      <c r="T28" s="71" t="n"/>
      <c r="U28" s="38" t="n"/>
      <c r="V28" s="71" t="n"/>
      <c r="W28" s="43">
        <f>IF(COUNT(C28,E28,G28,I28,K28,M28,O28,Q28,S28,U28)=0,"",SUM(C28,E28,G28,I28,K28,M28,O28,Q28,S28,U28))</f>
        <v/>
      </c>
      <c r="X28" s="72">
        <f>IF(COUNT(D28,F28,H28,J28,L28,N28,P28,R28,T28,V28)=0,"",SUM(D28,F28,H28,J28,L28,N28,P28,R28,T28,V28))</f>
        <v/>
      </c>
      <c r="Y28" s="42">
        <f>IF(AND(ISNUMBER(X28),ISNUMBER(X27)),X28-X27+N(W28),"")</f>
        <v/>
      </c>
      <c r="Z28" s="73">
        <f>IF(AND(ISNUMBER(X28),ISNUMBER(X$8),X$8&gt;0),1-X28/X$8,"")</f>
        <v/>
      </c>
      <c r="AA28" s="74">
        <f>IF(ISNUMBER(Z28),REPT("█",MAX(0,MIN(20,ROUND(Z28*20,0)))),"")</f>
        <v/>
      </c>
      <c r="AB28" s="1" t="n"/>
    </row>
    <row r="29">
      <c r="A29" s="35" t="inlineStr">
        <is>
          <t>Mês 21</t>
        </is>
      </c>
      <c r="B29" s="75" t="n"/>
      <c r="C29" s="38" t="n"/>
      <c r="D29" s="71" t="n"/>
      <c r="E29" s="38" t="n"/>
      <c r="F29" s="71" t="n"/>
      <c r="G29" s="38" t="n"/>
      <c r="H29" s="71" t="n"/>
      <c r="I29" s="38" t="n"/>
      <c r="J29" s="71" t="n"/>
      <c r="K29" s="38" t="n"/>
      <c r="L29" s="71" t="n"/>
      <c r="M29" s="38" t="n"/>
      <c r="N29" s="71" t="n"/>
      <c r="O29" s="38" t="n"/>
      <c r="P29" s="71" t="n"/>
      <c r="Q29" s="38" t="n"/>
      <c r="R29" s="71" t="n"/>
      <c r="S29" s="38" t="n"/>
      <c r="T29" s="71" t="n"/>
      <c r="U29" s="38" t="n"/>
      <c r="V29" s="71" t="n"/>
      <c r="W29" s="43">
        <f>IF(COUNT(C29,E29,G29,I29,K29,M29,O29,Q29,S29,U29)=0,"",SUM(C29,E29,G29,I29,K29,M29,O29,Q29,S29,U29))</f>
        <v/>
      </c>
      <c r="X29" s="72">
        <f>IF(COUNT(D29,F29,H29,J29,L29,N29,P29,R29,T29,V29)=0,"",SUM(D29,F29,H29,J29,L29,N29,P29,R29,T29,V29))</f>
        <v/>
      </c>
      <c r="Y29" s="42">
        <f>IF(AND(ISNUMBER(X29),ISNUMBER(X28)),X29-X28+N(W29),"")</f>
        <v/>
      </c>
      <c r="Z29" s="73">
        <f>IF(AND(ISNUMBER(X29),ISNUMBER(X$8),X$8&gt;0),1-X29/X$8,"")</f>
        <v/>
      </c>
      <c r="AA29" s="74">
        <f>IF(ISNUMBER(Z29),REPT("█",MAX(0,MIN(20,ROUND(Z29*20,0)))),"")</f>
        <v/>
      </c>
      <c r="AB29" s="1" t="n"/>
    </row>
    <row r="30">
      <c r="A30" s="35" t="inlineStr">
        <is>
          <t>Mês 22</t>
        </is>
      </c>
      <c r="B30" s="75" t="n"/>
      <c r="C30" s="38" t="n"/>
      <c r="D30" s="71" t="n"/>
      <c r="E30" s="38" t="n"/>
      <c r="F30" s="71" t="n"/>
      <c r="G30" s="38" t="n"/>
      <c r="H30" s="71" t="n"/>
      <c r="I30" s="38" t="n"/>
      <c r="J30" s="71" t="n"/>
      <c r="K30" s="38" t="n"/>
      <c r="L30" s="71" t="n"/>
      <c r="M30" s="38" t="n"/>
      <c r="N30" s="71" t="n"/>
      <c r="O30" s="38" t="n"/>
      <c r="P30" s="71" t="n"/>
      <c r="Q30" s="38" t="n"/>
      <c r="R30" s="71" t="n"/>
      <c r="S30" s="38" t="n"/>
      <c r="T30" s="71" t="n"/>
      <c r="U30" s="38" t="n"/>
      <c r="V30" s="71" t="n"/>
      <c r="W30" s="43">
        <f>IF(COUNT(C30,E30,G30,I30,K30,M30,O30,Q30,S30,U30)=0,"",SUM(C30,E30,G30,I30,K30,M30,O30,Q30,S30,U30))</f>
        <v/>
      </c>
      <c r="X30" s="72">
        <f>IF(COUNT(D30,F30,H30,J30,L30,N30,P30,R30,T30,V30)=0,"",SUM(D30,F30,H30,J30,L30,N30,P30,R30,T30,V30))</f>
        <v/>
      </c>
      <c r="Y30" s="42">
        <f>IF(AND(ISNUMBER(X30),ISNUMBER(X29)),X30-X29+N(W30),"")</f>
        <v/>
      </c>
      <c r="Z30" s="73">
        <f>IF(AND(ISNUMBER(X30),ISNUMBER(X$8),X$8&gt;0),1-X30/X$8,"")</f>
        <v/>
      </c>
      <c r="AA30" s="74">
        <f>IF(ISNUMBER(Z30),REPT("█",MAX(0,MIN(20,ROUND(Z30*20,0)))),"")</f>
        <v/>
      </c>
      <c r="AB30" s="1" t="n"/>
    </row>
    <row r="31">
      <c r="A31" s="35" t="inlineStr">
        <is>
          <t>Mês 23</t>
        </is>
      </c>
      <c r="B31" s="75" t="n"/>
      <c r="C31" s="38" t="n"/>
      <c r="D31" s="71" t="n"/>
      <c r="E31" s="38" t="n"/>
      <c r="F31" s="71" t="n"/>
      <c r="G31" s="38" t="n"/>
      <c r="H31" s="71" t="n"/>
      <c r="I31" s="38" t="n"/>
      <c r="J31" s="71" t="n"/>
      <c r="K31" s="38" t="n"/>
      <c r="L31" s="71" t="n"/>
      <c r="M31" s="38" t="n"/>
      <c r="N31" s="71" t="n"/>
      <c r="O31" s="38" t="n"/>
      <c r="P31" s="71" t="n"/>
      <c r="Q31" s="38" t="n"/>
      <c r="R31" s="71" t="n"/>
      <c r="S31" s="38" t="n"/>
      <c r="T31" s="71" t="n"/>
      <c r="U31" s="38" t="n"/>
      <c r="V31" s="71" t="n"/>
      <c r="W31" s="43">
        <f>IF(COUNT(C31,E31,G31,I31,K31,M31,O31,Q31,S31,U31)=0,"",SUM(C31,E31,G31,I31,K31,M31,O31,Q31,S31,U31))</f>
        <v/>
      </c>
      <c r="X31" s="72">
        <f>IF(COUNT(D31,F31,H31,J31,L31,N31,P31,R31,T31,V31)=0,"",SUM(D31,F31,H31,J31,L31,N31,P31,R31,T31,V31))</f>
        <v/>
      </c>
      <c r="Y31" s="42">
        <f>IF(AND(ISNUMBER(X31),ISNUMBER(X30)),X31-X30+N(W31),"")</f>
        <v/>
      </c>
      <c r="Z31" s="73">
        <f>IF(AND(ISNUMBER(X31),ISNUMBER(X$8),X$8&gt;0),1-X31/X$8,"")</f>
        <v/>
      </c>
      <c r="AA31" s="74">
        <f>IF(ISNUMBER(Z31),REPT("█",MAX(0,MIN(20,ROUND(Z31*20,0)))),"")</f>
        <v/>
      </c>
      <c r="AB31" s="1" t="n"/>
    </row>
    <row r="32">
      <c r="A32" s="35" t="inlineStr">
        <is>
          <t>Mês 24</t>
        </is>
      </c>
      <c r="B32" s="75" t="n"/>
      <c r="C32" s="38" t="n"/>
      <c r="D32" s="71" t="n"/>
      <c r="E32" s="38" t="n"/>
      <c r="F32" s="71" t="n"/>
      <c r="G32" s="38" t="n"/>
      <c r="H32" s="71" t="n"/>
      <c r="I32" s="38" t="n"/>
      <c r="J32" s="71" t="n"/>
      <c r="K32" s="38" t="n"/>
      <c r="L32" s="71" t="n"/>
      <c r="M32" s="38" t="n"/>
      <c r="N32" s="71" t="n"/>
      <c r="O32" s="38" t="n"/>
      <c r="P32" s="71" t="n"/>
      <c r="Q32" s="38" t="n"/>
      <c r="R32" s="71" t="n"/>
      <c r="S32" s="38" t="n"/>
      <c r="T32" s="71" t="n"/>
      <c r="U32" s="38" t="n"/>
      <c r="V32" s="71" t="n"/>
      <c r="W32" s="43">
        <f>IF(COUNT(C32,E32,G32,I32,K32,M32,O32,Q32,S32,U32)=0,"",SUM(C32,E32,G32,I32,K32,M32,O32,Q32,S32,U32))</f>
        <v/>
      </c>
      <c r="X32" s="72">
        <f>IF(COUNT(D32,F32,H32,J32,L32,N32,P32,R32,T32,V32)=0,"",SUM(D32,F32,H32,J32,L32,N32,P32,R32,T32,V32))</f>
        <v/>
      </c>
      <c r="Y32" s="42">
        <f>IF(AND(ISNUMBER(X32),ISNUMBER(X31)),X32-X31+N(W32),"")</f>
        <v/>
      </c>
      <c r="Z32" s="73">
        <f>IF(AND(ISNUMBER(X32),ISNUMBER(X$8),X$8&gt;0),1-X32/X$8,"")</f>
        <v/>
      </c>
      <c r="AA32" s="74">
        <f>IF(ISNUMBER(Z32),REPT("█",MAX(0,MIN(20,ROUND(Z32*20,0)))),"")</f>
        <v/>
      </c>
      <c r="AB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46" customHeight="1">
      <c r="A34" s="63" t="inlineStr">
        <is>
          <t>Linha "Início": a vida de cada chefão no dia em que você começou (copie da aba Meus chefões). As linhas EXEMPLO são a Avalanche da Ana nos 2 primeiros meses, feitas pelas contas do livro: apague e coloque as suas. "Ataque que você tomou" = vida de agora − vida do mês anterior + o que você pagou, ou seja, os juros (e multas) que entraram no mês.</t>
        </is>
      </c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t="30" customHeight="1">
      <c r="A55" s="20" t="inlineStr">
        <is>
          <t>Educativo: não é recomendação de investimento, não promete resultado e não substitui orientação profissional. Taxas médias do Banco Central de setembro de 2026 (consignado CLT: média de agosto de 2026). Confira sempre o contrato e o CET da sua dívida.</t>
        </is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2">
    <mergeCell ref="P4:T4"/>
    <mergeCell ref="C6:D6"/>
    <mergeCell ref="I6:J6"/>
    <mergeCell ref="O6:P6"/>
    <mergeCell ref="U6:V6"/>
    <mergeCell ref="AA6:AA7"/>
    <mergeCell ref="A3:C3"/>
    <mergeCell ref="G3:I3"/>
    <mergeCell ref="J4:L4"/>
    <mergeCell ref="A1:H1"/>
    <mergeCell ref="A6:A7"/>
    <mergeCell ref="X6:X7"/>
    <mergeCell ref="D4:F4"/>
    <mergeCell ref="M3:O3"/>
    <mergeCell ref="A34:P34"/>
    <mergeCell ref="D3:F3"/>
    <mergeCell ref="G4:I4"/>
    <mergeCell ref="G6:H6"/>
    <mergeCell ref="A4:C4"/>
    <mergeCell ref="B6:B7"/>
    <mergeCell ref="J3:L3"/>
    <mergeCell ref="Y6:Y7"/>
    <mergeCell ref="E6:F6"/>
    <mergeCell ref="M6:N6"/>
    <mergeCell ref="M4:O4"/>
    <mergeCell ref="Q6:R6"/>
    <mergeCell ref="S6:T6"/>
    <mergeCell ref="Z6:Z7"/>
    <mergeCell ref="A55:P55"/>
    <mergeCell ref="K6:L6"/>
    <mergeCell ref="W6:W7"/>
    <mergeCell ref="A2:P2"/>
  </mergeCells>
  <conditionalFormatting sqref="D9:D32">
    <cfRule type="expression" priority="1" dxfId="3">
      <formula>AND(ISNUMBER(D9),D9&lt;=0)</formula>
    </cfRule>
    <cfRule type="expression" priority="2" dxfId="4">
      <formula>AND(ISNUMBER(D9),ISNUMBER(D8),D9&gt;D8)</formula>
    </cfRule>
  </conditionalFormatting>
  <conditionalFormatting sqref="F9:F32">
    <cfRule type="expression" priority="3" dxfId="3">
      <formula>AND(ISNUMBER(F9),F9&lt;=0)</formula>
    </cfRule>
    <cfRule type="expression" priority="4" dxfId="4">
      <formula>AND(ISNUMBER(F9),ISNUMBER(F8),F9&gt;F8)</formula>
    </cfRule>
  </conditionalFormatting>
  <conditionalFormatting sqref="H9:H32">
    <cfRule type="expression" priority="5" dxfId="3">
      <formula>AND(ISNUMBER(H9),H9&lt;=0)</formula>
    </cfRule>
    <cfRule type="expression" priority="6" dxfId="4">
      <formula>AND(ISNUMBER(H9),ISNUMBER(H8),H9&gt;H8)</formula>
    </cfRule>
  </conditionalFormatting>
  <conditionalFormatting sqref="J9:J32">
    <cfRule type="expression" priority="7" dxfId="3">
      <formula>AND(ISNUMBER(J9),J9&lt;=0)</formula>
    </cfRule>
    <cfRule type="expression" priority="8" dxfId="4">
      <formula>AND(ISNUMBER(J9),ISNUMBER(J8),J9&gt;J8)</formula>
    </cfRule>
  </conditionalFormatting>
  <conditionalFormatting sqref="L9:L32">
    <cfRule type="expression" priority="9" dxfId="3">
      <formula>AND(ISNUMBER(L9),L9&lt;=0)</formula>
    </cfRule>
    <cfRule type="expression" priority="10" dxfId="4">
      <formula>AND(ISNUMBER(L9),ISNUMBER(L8),L9&gt;L8)</formula>
    </cfRule>
  </conditionalFormatting>
  <conditionalFormatting sqref="N9:N32">
    <cfRule type="expression" priority="11" dxfId="3">
      <formula>AND(ISNUMBER(N9),N9&lt;=0)</formula>
    </cfRule>
    <cfRule type="expression" priority="12" dxfId="4">
      <formula>AND(ISNUMBER(N9),ISNUMBER(N8),N9&gt;N8)</formula>
    </cfRule>
  </conditionalFormatting>
  <conditionalFormatting sqref="P9:P32">
    <cfRule type="expression" priority="13" dxfId="3">
      <formula>AND(ISNUMBER(P9),P9&lt;=0)</formula>
    </cfRule>
    <cfRule type="expression" priority="14" dxfId="4">
      <formula>AND(ISNUMBER(P9),ISNUMBER(P8),P9&gt;P8)</formula>
    </cfRule>
  </conditionalFormatting>
  <conditionalFormatting sqref="R9:R32">
    <cfRule type="expression" priority="15" dxfId="3">
      <formula>AND(ISNUMBER(R9),R9&lt;=0)</formula>
    </cfRule>
    <cfRule type="expression" priority="16" dxfId="4">
      <formula>AND(ISNUMBER(R9),ISNUMBER(R8),R9&gt;R8)</formula>
    </cfRule>
  </conditionalFormatting>
  <conditionalFormatting sqref="T9:T32">
    <cfRule type="expression" priority="17" dxfId="3">
      <formula>AND(ISNUMBER(T9),T9&lt;=0)</formula>
    </cfRule>
    <cfRule type="expression" priority="18" dxfId="4">
      <formula>AND(ISNUMBER(T9),ISNUMBER(T8),T9&gt;T8)</formula>
    </cfRule>
  </conditionalFormatting>
  <conditionalFormatting sqref="V9:V32">
    <cfRule type="expression" priority="19" dxfId="3">
      <formula>AND(ISNUMBER(V9),V9&lt;=0)</formula>
    </cfRule>
    <cfRule type="expression" priority="20" dxfId="4">
      <formula>AND(ISNUMBER(V9),ISNUMBER(V8),V9&gt;V8)</formula>
    </cfRule>
  </conditionalFormatting>
  <conditionalFormatting sqref="X9:X32">
    <cfRule type="expression" priority="21" dxfId="5">
      <formula>AND(ISNUMBER(X9),ISNUMBER(X8),X9&gt;X8)</formula>
    </cfRule>
  </conditionalFormatting>
  <dataValidations count="1">
    <dataValidation sqref="C9:C32 D8:D32 E9:E32 F8:F32 G9:G32 H8:H32 I9:I32 J8:J32 K9:K32 L8:L32 M9:M32 N8:N32 O9:O32 P8:P32 Q9:Q32 R8:R32 S9:S32 T8:T32 U9:U32 V8:V32" showDropDown="0" showInputMessage="0" showErrorMessage="1" allowBlank="1" errorTitle="Só números" error="Digite um valor em reais. Ex.: 350,00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7302A"/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0" customWidth="1" min="3" max="3"/>
    <col width="14" customWidth="1" min="4" max="4"/>
    <col width="3" customWidth="1" min="5" max="5"/>
  </cols>
  <sheetData>
    <row r="1" ht="34" customHeight="1">
      <c r="A1" s="21" t="inlineStr">
        <is>
          <t>MISSÃO FINAL: 90 DIAS</t>
        </is>
      </c>
      <c r="D1" s="1" t="n"/>
      <c r="E1" s="1" t="n"/>
      <c r="F1" s="1" t="n"/>
    </row>
    <row r="2">
      <c r="A2" s="22" t="inlineStr">
        <is>
          <t>Din: doze semanas, uma missão por semana. Terminou? Escolha "Feito" na última coluna.</t>
        </is>
      </c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26" t="inlineStr">
        <is>
          <t>MISSÕES FEITAS</t>
        </is>
      </c>
      <c r="B4" s="27" t="n"/>
      <c r="C4" s="1" t="n"/>
      <c r="D4" s="1" t="n"/>
      <c r="E4" s="1" t="n"/>
      <c r="F4" s="1" t="n"/>
    </row>
    <row r="5" ht="30" customHeight="1">
      <c r="A5" s="76">
        <f>COUNTIF(D7:D18,"Feito")&amp;" de 12"</f>
        <v/>
      </c>
      <c r="B5" s="29" t="n"/>
      <c r="C5" s="77">
        <f>REPT("█",COUNTIF(D7:D18,"Feito"))&amp;REPT("░",12-COUNTIF(D7:D18,"Feito"))</f>
        <v/>
      </c>
      <c r="D5" s="78">
        <f>IF(COUNTIF(D7:D18,"Feito")=12,"MUNDO 1 VENCIDO!","")</f>
        <v/>
      </c>
      <c r="E5" s="1" t="n"/>
      <c r="F5" s="1" t="n"/>
    </row>
    <row r="6">
      <c r="A6" s="26" t="inlineStr">
        <is>
          <t>Semana</t>
        </is>
      </c>
      <c r="B6" s="26" t="inlineStr">
        <is>
          <t>Missão</t>
        </is>
      </c>
      <c r="C6" s="26" t="inlineStr">
        <is>
          <t>O que fazer</t>
        </is>
      </c>
      <c r="D6" s="26" t="inlineStr">
        <is>
          <t>Feito?</t>
        </is>
      </c>
      <c r="E6" s="1" t="n"/>
      <c r="F6" s="1" t="n"/>
    </row>
    <row r="7" ht="30" customHeight="1">
      <c r="A7" s="35" t="inlineStr">
        <is>
          <t>Semana 1</t>
        </is>
      </c>
      <c r="B7" s="79" t="inlineStr">
        <is>
          <t>Mapa do jogo</t>
        </is>
      </c>
      <c r="C7" s="80" t="inlineStr">
        <is>
          <t>Puxe o Registrato, as faturas e os extratos. Preencha uma ficha por dívida.</t>
        </is>
      </c>
      <c r="D7" s="81" t="n"/>
      <c r="E7" s="1" t="n"/>
      <c r="F7" s="1" t="n"/>
    </row>
    <row r="8" ht="30" customHeight="1">
      <c r="A8" s="35" t="inlineStr">
        <is>
          <t>Semana 2</t>
        </is>
      </c>
      <c r="B8" s="79" t="inlineStr">
        <is>
          <t>Placar</t>
        </is>
      </c>
      <c r="C8" s="80" t="inlineStr">
        <is>
          <t>Some a vida total e o ataque do mês. Liste o essencial e descubra quanto sobra.</t>
        </is>
      </c>
      <c r="D8" s="81" t="n"/>
      <c r="E8" s="1" t="n"/>
      <c r="F8" s="1" t="n"/>
    </row>
    <row r="9" ht="30" customHeight="1">
      <c r="A9" s="35" t="inlineStr">
        <is>
          <t>Semana 3</t>
        </is>
      </c>
      <c r="B9" s="79" t="inlineStr">
        <is>
          <t>Estratégia</t>
        </is>
      </c>
      <c r="C9" s="80" t="inlineStr">
        <is>
          <t>Escolha Avalanche ou Bola de Neve e defina o primeiro alvo.</t>
        </is>
      </c>
      <c r="D9" s="81" t="n"/>
      <c r="E9" s="1" t="n"/>
      <c r="F9" s="1" t="n"/>
    </row>
    <row r="10" ht="30" customHeight="1">
      <c r="A10" s="35" t="inlineStr">
        <is>
          <t>Semana 4</t>
        </is>
      </c>
      <c r="B10" s="79" t="inlineStr">
        <is>
          <t>Feche as portas</t>
        </is>
      </c>
      <c r="C10" s="80" t="inlineStr">
        <is>
          <t>Reduza o limite do cheque especial e do cartão. Tire os cartões salvos dos apps.</t>
        </is>
      </c>
      <c r="D10" s="81" t="n"/>
      <c r="E10" s="1" t="n"/>
      <c r="F10" s="1" t="n"/>
    </row>
    <row r="11" ht="30" customHeight="1">
      <c r="A11" s="35" t="inlineStr">
        <is>
          <t>Semana 5</t>
        </is>
      </c>
      <c r="B11" s="79" t="inlineStr">
        <is>
          <t>Renegociar</t>
        </is>
      </c>
      <c r="C11" s="80" t="inlineStr">
        <is>
          <t>Ligue para os credores das dívidas atrasadas. Peça tudo por escrito.</t>
        </is>
      </c>
      <c r="D11" s="81" t="n"/>
      <c r="E11" s="1" t="n"/>
      <c r="F11" s="1" t="n"/>
    </row>
    <row r="12" ht="30" customHeight="1">
      <c r="A12" s="35" t="inlineStr">
        <is>
          <t>Semana 6</t>
        </is>
      </c>
      <c r="B12" s="79" t="inlineStr">
        <is>
          <t>Comparar</t>
        </is>
      </c>
      <c r="C12" s="80" t="inlineStr">
        <is>
          <t>Simule portabilidade e troca por dívida mais barata. Compare taxa ao mês e CET.</t>
        </is>
      </c>
      <c r="D12" s="81" t="n"/>
      <c r="E12" s="1" t="n"/>
      <c r="F12" s="1" t="n"/>
    </row>
    <row r="13" ht="30" customHeight="1">
      <c r="A13" s="35" t="inlineStr">
        <is>
          <t>Semana 7</t>
        </is>
      </c>
      <c r="B13" s="79" t="inlineStr">
        <is>
          <t>Decidir</t>
        </is>
      </c>
      <c r="C13" s="80" t="inlineStr">
        <is>
          <t>Feche só os acordos que cabem no bolso. Atualize as fichas.</t>
        </is>
      </c>
      <c r="D13" s="81" t="n"/>
      <c r="E13" s="1" t="n"/>
      <c r="F13" s="1" t="n"/>
    </row>
    <row r="14" ht="30" customHeight="1">
      <c r="A14" s="35" t="inlineStr">
        <is>
          <t>Semana 8</t>
        </is>
      </c>
      <c r="B14" s="79" t="inlineStr">
        <is>
          <t>Gastos invisíveis</t>
        </is>
      </c>
      <c r="C14" s="80" t="inlineStr">
        <is>
          <t>Corte três gastos e mande a economia para o alvo.</t>
        </is>
      </c>
      <c r="D14" s="81" t="n"/>
      <c r="E14" s="1" t="n"/>
      <c r="F14" s="1" t="n"/>
    </row>
    <row r="15" ht="30" customHeight="1">
      <c r="A15" s="35" t="inlineStr">
        <is>
          <t>Semana 9</t>
        </is>
      </c>
      <c r="B15" s="79" t="inlineStr">
        <is>
          <t>Escudo</t>
        </is>
      </c>
      <c r="C15" s="80" t="inlineStr">
        <is>
          <t>Comece a reserva de emergência, nem que seja com R$ 50.</t>
        </is>
      </c>
      <c r="D15" s="81" t="n"/>
      <c r="E15" s="1" t="n"/>
      <c r="F15" s="1" t="n"/>
    </row>
    <row r="16" ht="30" customHeight="1">
      <c r="A16" s="35" t="inlineStr">
        <is>
          <t>Semana 10</t>
        </is>
      </c>
      <c r="B16" s="79" t="inlineStr">
        <is>
          <t>Placar de novo</t>
        </is>
      </c>
      <c r="C16" s="80" t="inlineStr">
        <is>
          <t>Atualize as fichas. A vida total caiu? O ataque do mês caiu?</t>
        </is>
      </c>
      <c r="D16" s="81" t="n"/>
      <c r="E16" s="1" t="n"/>
      <c r="F16" s="1" t="n"/>
    </row>
    <row r="17" ht="30" customHeight="1">
      <c r="A17" s="35" t="inlineStr">
        <is>
          <t>Semana 11</t>
        </is>
      </c>
      <c r="B17" s="79" t="inlineStr">
        <is>
          <t>Ajuste</t>
        </is>
      </c>
      <c r="C17" s="80" t="inlineStr">
        <is>
          <t>Se algum chefão está crescendo, volte à Fase 4. Se tudo cai, mantenha o ritmo.</t>
        </is>
      </c>
      <c r="D17" s="81" t="n"/>
      <c r="E17" s="1" t="n"/>
      <c r="F17" s="1" t="n"/>
    </row>
    <row r="18" ht="30" customHeight="1">
      <c r="A18" s="35" t="inlineStr">
        <is>
          <t>Semana 12</t>
        </is>
      </c>
      <c r="B18" s="79" t="inlineStr">
        <is>
          <t>Próximo alvo</t>
        </is>
      </c>
      <c r="C18" s="80" t="inlineStr">
        <is>
          <t>Comemore cada fase vencida e escreva o plano dos próximos 90 dias.</t>
        </is>
      </c>
      <c r="D18" s="8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 ht="32" customHeight="1">
      <c r="A20" s="82" t="inlineStr">
        <is>
          <t>Quando o último chefão cai, o dinheiro que ia para as dívidas continua chegando todo mês. Agora ele é seu: é o Mundo 2, O Cofre.</t>
        </is>
      </c>
      <c r="B20" s="53" t="n"/>
      <c r="C20" s="53" t="n"/>
      <c r="D20" s="53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 ht="30" customHeight="1">
      <c r="A22" s="20" t="inlineStr">
        <is>
          <t>Educativo: não é recomendação de investimento, não promete resultado e não substitui orientação profissional. Taxas médias do Banco Central de setembro de 2026 (consignado CLT: média de agosto de 2026). Confira sempre o contrato e o CET da sua dívida.</t>
        </is>
      </c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6">
    <mergeCell ref="A4:B4"/>
    <mergeCell ref="A1:C1"/>
    <mergeCell ref="A22:D22"/>
    <mergeCell ref="A20:D20"/>
    <mergeCell ref="A5:B5"/>
    <mergeCell ref="A2:D2"/>
  </mergeCells>
  <conditionalFormatting sqref="A7:D18">
    <cfRule type="expression" priority="1" dxfId="6">
      <formula>$D7="Feito"</formula>
    </cfRule>
  </conditionalFormatting>
  <conditionalFormatting sqref="D7:D18">
    <cfRule type="expression" priority="2" dxfId="3">
      <formula>$D7="Feito"</formula>
    </cfRule>
  </conditionalFormatting>
  <dataValidations count="1">
    <dataValidation sqref="D7 D8 D9 D10 D11 D12 D13 D14 D15 D16 D17 D18" showDropDown="0" showInputMessage="0" showErrorMessage="1" allowBlank="1" errorTitle="Missão" error="Escolha &quot;Feito&quot; na lista, ou deixe em branco." type="list">
      <formula1>"Feito"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14" customWidth="1" min="3" max="3"/>
    <col width="14" customWidth="1" min="4" max="4"/>
    <col width="58" customWidth="1" min="5" max="5"/>
    <col width="3" customWidth="1" min="6" max="6"/>
  </cols>
  <sheetData>
    <row r="1">
      <c r="A1" s="83" t="inlineStr">
        <is>
          <t>TAXAS MÉDIAS DOS CHEFÕES</t>
        </is>
      </c>
      <c r="B1" s="1" t="n"/>
      <c r="C1" s="1" t="n"/>
      <c r="D1" s="1" t="n"/>
      <c r="E1" s="1" t="n"/>
      <c r="F1" s="1" t="n"/>
    </row>
    <row r="2" ht="30" customHeight="1">
      <c r="A2" s="84" t="inlineStr">
        <is>
          <t>Banco Central do Brasil, taxas médias de setembro de 2026 (divulgadas em 29/10/2026). Taxa ao mês = (1 + taxa ao ano)^(1/12) − 1, a mesma conta do livro.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26" t="inlineStr">
        <is>
          <t>Tipo de dívida</t>
        </is>
      </c>
      <c r="B4" s="26" t="inlineStr">
        <is>
          <t>Chefão do livro</t>
        </is>
      </c>
      <c r="C4" s="26" t="inlineStr">
        <is>
          <t>Taxa ao ano</t>
        </is>
      </c>
      <c r="D4" s="26" t="inlineStr">
        <is>
          <t>Taxa ao mês</t>
        </is>
      </c>
      <c r="E4" s="26" t="inlineStr">
        <is>
          <t>Fonte</t>
        </is>
      </c>
      <c r="F4" s="1" t="n"/>
    </row>
    <row r="5">
      <c r="A5" s="79" t="inlineStr">
        <is>
          <t>Rotativo do cartão</t>
        </is>
      </c>
      <c r="B5" s="13" t="inlineStr">
        <is>
          <t>Dragão do Rotativo</t>
        </is>
      </c>
      <c r="C5" s="73" t="n">
        <v>4.516999999999999</v>
      </c>
      <c r="D5" s="41">
        <f>(1+C5)^(1/12)-1</f>
        <v/>
      </c>
      <c r="E5" s="85" t="inlineStr">
        <is>
          <t>BC, set/2026</t>
        </is>
      </c>
      <c r="F5" s="1" t="n"/>
    </row>
    <row r="6">
      <c r="A6" s="79" t="inlineStr">
        <is>
          <t>Parcelamento da fatura</t>
        </is>
      </c>
      <c r="B6" s="13" t="inlineStr">
        <is>
          <t>Golem do Parcelado</t>
        </is>
      </c>
      <c r="C6" s="73" t="n">
        <v>1.93</v>
      </c>
      <c r="D6" s="41">
        <f>(1+C6)^(1/12)-1</f>
        <v/>
      </c>
      <c r="E6" s="85" t="inlineStr">
        <is>
          <t>BC, set/2026</t>
        </is>
      </c>
      <c r="F6" s="1" t="n"/>
    </row>
    <row r="7">
      <c r="A7" s="79" t="inlineStr">
        <is>
          <t>Cheque especial</t>
        </is>
      </c>
      <c r="B7" s="13" t="inlineStr">
        <is>
          <t>Sombra do Cheque Especial</t>
        </is>
      </c>
      <c r="C7" s="73" t="n">
        <v>1.39</v>
      </c>
      <c r="D7" s="41">
        <f>(1+C7)^(1/12)-1</f>
        <v/>
      </c>
      <c r="E7" s="85" t="inlineStr">
        <is>
          <t>BC, set/2026</t>
        </is>
      </c>
      <c r="F7" s="1" t="n"/>
    </row>
    <row r="8">
      <c r="A8" s="79" t="inlineStr">
        <is>
          <t>Crédito pessoal</t>
        </is>
      </c>
      <c r="B8" s="13" t="inlineStr">
        <is>
          <t>Cavaleiro do Crédito Pessoal</t>
        </is>
      </c>
      <c r="C8" s="73" t="n">
        <v>1.109</v>
      </c>
      <c r="D8" s="41">
        <f>(1+C8)^(1/12)-1</f>
        <v/>
      </c>
      <c r="E8" s="85" t="inlineStr">
        <is>
          <t>BC, set/2026</t>
        </is>
      </c>
      <c r="F8" s="1" t="n"/>
    </row>
    <row r="9">
      <c r="A9" s="79" t="inlineStr">
        <is>
          <t>Consignado privado (CLT)</t>
        </is>
      </c>
      <c r="B9" s="13" t="inlineStr">
        <is>
          <t>Ogro do Consignado CLT</t>
        </is>
      </c>
      <c r="C9" s="73" t="n">
        <v>0.5634</v>
      </c>
      <c r="D9" s="41">
        <f>(1+C9)^(1/12)-1</f>
        <v/>
      </c>
      <c r="E9" s="85" t="inlineStr">
        <is>
          <t>BC, média de ago/2026 (série 20744)</t>
        </is>
      </c>
      <c r="F9" s="1" t="n"/>
    </row>
    <row r="10">
      <c r="A10" s="79" t="inlineStr">
        <is>
          <t>Consignado</t>
        </is>
      </c>
      <c r="B10" s="13" t="inlineStr">
        <is>
          <t>Lacaio do Consignado</t>
        </is>
      </c>
      <c r="C10" s="73" t="n">
        <v>0.285</v>
      </c>
      <c r="D10" s="41">
        <f>(1+C10)^(1/12)-1</f>
        <v/>
      </c>
      <c r="E10" s="85" t="inlineStr">
        <is>
          <t>BC, set/2026</t>
        </is>
      </c>
      <c r="F10" s="1" t="n"/>
    </row>
    <row r="11">
      <c r="A11" s="79" t="inlineStr">
        <is>
          <t>Financiamento de veículos</t>
        </is>
      </c>
      <c r="B11" s="13" t="inlineStr">
        <is>
          <t>Tartaruga do Financiamento</t>
        </is>
      </c>
      <c r="C11" s="73" t="n">
        <v>0.262</v>
      </c>
      <c r="D11" s="41">
        <f>(1+C11)^(1/12)-1</f>
        <v/>
      </c>
      <c r="E11" s="85" t="inlineStr">
        <is>
          <t>BC, set/2026</t>
        </is>
      </c>
      <c r="F11" s="1" t="n"/>
    </row>
    <row r="12">
      <c r="A12" s="79" t="inlineStr">
        <is>
          <t>Contas atrasadas (luz/água/telefone)</t>
        </is>
      </c>
      <c r="B12" s="13" t="inlineStr">
        <is>
          <t>Goblin das Contas Atrasadas</t>
        </is>
      </c>
      <c r="C12" s="73">
        <f>(1+D12)^12-1</f>
        <v/>
      </c>
      <c r="D12" s="41" t="n">
        <v>0.01</v>
      </c>
      <c r="E12" s="85" t="inlineStr">
        <is>
          <t>Juros de mora de 1% a.m. + multa de até 2% (ANEEL/concessionárias, via Procon-SP)</t>
        </is>
      </c>
      <c r="F12" s="1" t="n"/>
    </row>
    <row r="13">
      <c r="A13" s="79" t="inlineStr">
        <is>
          <t>Outra dívida</t>
        </is>
      </c>
      <c r="B13" s="13" t="inlineStr">
        <is>
          <t>Chefão sem ficha</t>
        </is>
      </c>
      <c r="C13" s="13" t="n"/>
      <c r="D13" s="13" t="n"/>
      <c r="E13" s="85" t="inlineStr">
        <is>
          <t>Sem média: digite a taxa do seu contrato em "Minha taxa"</t>
        </is>
      </c>
      <c r="F13" s="1" t="n"/>
    </row>
    <row r="14">
      <c r="A14" s="1" t="n"/>
      <c r="B14" s="1" t="n"/>
      <c r="C14" s="1" t="n"/>
      <c r="D14" s="1" t="n"/>
      <c r="E14" s="1" t="n"/>
      <c r="F14" s="1" t="n"/>
    </row>
    <row r="15" ht="30" customHeight="1">
      <c r="A15" s="86" t="inlineStr">
        <is>
          <t>As taxas mudam todo mês. Atualize a coluna "Taxa ao ano" com a média nova do Banco Central (bcb.gov.br, estatísticas monetárias e de crédito), ou use a taxa do seu contrato em "Minha taxa".</t>
        </is>
      </c>
      <c r="F15" s="1" t="n"/>
    </row>
    <row r="16" ht="40" customHeight="1">
      <c r="A16" s="20" t="inlineStr">
        <is>
          <t>Educativo: não é recomendação de investimento, não promete resultado e não substitui orientação profissional. Taxas médias do Banco Central de setembro de 2026 (consignado CLT: média de agosto de 2026). Confira sempre o contrato e o CET da sua dívida.</t>
        </is>
      </c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">
    <mergeCell ref="A2:E2"/>
    <mergeCell ref="A15:E15"/>
    <mergeCell ref="A16:E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2026-10-30T00:07:12Z</dcterms:created>
  <dcterms:modified xmlns:dcterms="http://purl.org/dc/terms/" xmlns:xsi="http://www.w3.org/2001/XMLSchema-instance" xsi:type="dcterms:W3CDTF">2026-10-30T00:07:12Z</dcterms:modified>
</cp:coreProperties>
</file>